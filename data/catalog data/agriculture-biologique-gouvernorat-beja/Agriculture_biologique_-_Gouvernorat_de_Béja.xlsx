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D41" i="1"/>
  <c r="C41" i="1"/>
  <c r="E31" i="1" l="1"/>
  <c r="D31" i="1"/>
  <c r="C31" i="1"/>
  <c r="H21" i="1"/>
  <c r="G21" i="1"/>
  <c r="E21" i="1"/>
  <c r="D21" i="1"/>
  <c r="C2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<sst xmlns="http://schemas.openxmlformats.org/spreadsheetml/2006/main" count="136" uniqueCount="62">
  <si>
    <t>باجة الشمالية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</si>
  <si>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</si>
  <si>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</si>
  <si>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</si>
  <si>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</si>
  <si>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</si>
  <si>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</si>
  <si>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</si>
  <si>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</si>
  <si>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</si>
  <si>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 xml:space="preserve">     10 مراعي  </t>
  </si>
  <si>
    <t xml:space="preserve"> 35 زراعات كبري</t>
  </si>
  <si>
    <t>200 نباتات طبية و عطرية</t>
  </si>
  <si>
    <t>20 لتر زيت</t>
  </si>
  <si>
    <t>141 توابل +  و 392 مراعي</t>
  </si>
  <si>
    <t>218 مراعي</t>
  </si>
  <si>
    <t>35 لتر زيت</t>
  </si>
  <si>
    <t>9105 هك غابات لتقطير الزيوت الطبية و العطرية                        156 بيت نحل</t>
  </si>
  <si>
    <t xml:space="preserve">60 لتر زيوت             300 كلغ    عسل </t>
  </si>
  <si>
    <t>105 لتر                    300 كلغ عسل</t>
  </si>
  <si>
    <t>7 طن زيت</t>
  </si>
  <si>
    <t>30 طن زيت</t>
  </si>
  <si>
    <t xml:space="preserve"> 35 زراعات كبرى</t>
  </si>
  <si>
    <t>50 طن زيت</t>
  </si>
  <si>
    <t>30 لتر زيت</t>
  </si>
  <si>
    <t>104 زراعات كبري و توابل (18 هك)</t>
  </si>
  <si>
    <t>70طن زيت</t>
  </si>
  <si>
    <t>100 طن</t>
  </si>
  <si>
    <t>150 طن</t>
  </si>
  <si>
    <t>9842هك غابات لتقطير الزيوت الطبية و العطرية , 16 هك زراعات كبرى     56 بيت نحل</t>
  </si>
  <si>
    <t xml:space="preserve">110 لتر زيوت           448 كلغ  عسل        </t>
  </si>
  <si>
    <t>157 طن</t>
  </si>
  <si>
    <t>250 طن</t>
  </si>
  <si>
    <t>175 لتر                    448 كلغ عسل</t>
  </si>
  <si>
    <t>23 طن زيت</t>
  </si>
  <si>
    <t xml:space="preserve"> 35 ز.ك</t>
  </si>
  <si>
    <t>42 طن زيت</t>
  </si>
  <si>
    <t>12 طن زيت</t>
  </si>
  <si>
    <t xml:space="preserve">10 ز.ك </t>
  </si>
  <si>
    <t>57 طن زيت</t>
  </si>
  <si>
    <t>1000 طن</t>
  </si>
  <si>
    <t>6 طن زيت</t>
  </si>
  <si>
    <t>93 طن زيت</t>
  </si>
  <si>
    <t>-</t>
  </si>
  <si>
    <t>9842هك غابات لتقطير الزيوت الطبية و العطرية , 16 هك ز.ك     56 بيت نحل</t>
  </si>
  <si>
    <t xml:space="preserve">100 لتر زيوت           150 كلغ         </t>
  </si>
  <si>
    <t>9890                   56 بيت نحل</t>
  </si>
  <si>
    <t>233 طن</t>
  </si>
  <si>
    <t>1150 طن</t>
  </si>
  <si>
    <t>2019/2020</t>
  </si>
  <si>
    <t>2020/2021</t>
  </si>
  <si>
    <t>2021/2022</t>
  </si>
  <si>
    <t>2022/2023</t>
  </si>
  <si>
    <t>Campagne agricole</t>
  </si>
  <si>
    <t>Délégation</t>
  </si>
  <si>
    <t>Superficie cible selon le plan régional (ha)</t>
  </si>
  <si>
    <t xml:space="preserve">Superficie actuelle d'olivier (ha) </t>
  </si>
  <si>
    <t>Superficie actuelle d'arboriculture  (ha)</t>
  </si>
  <si>
    <t>Production d'oliviers (tonne d'huile)</t>
  </si>
  <si>
    <t>Production de fruits (tonne)</t>
  </si>
  <si>
    <t>Superficie Autres (ha)</t>
  </si>
  <si>
    <t>Production Autre (litre d'huiles végétales aromatiques)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</si>
</sst>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readingOrder="2"/>
    </xf>
    <xf numFmtId="0" fontId="2" fillId="0" borderId="1" xfId="0" applyFont="1" applyBorder="1" applyAlignment="1">
      <alignment horizontal="right" readingOrder="2"/>
    </xf>
    <xf numFmtId="0" fontId="2" fillId="0" borderId="1" xfId="0" applyFont="1" applyBorder="1" applyAlignment="1">
      <alignment horizontal="right" wrapText="1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2" fillId="2" borderId="1" xfId="0" applyFont="1" applyFill="1" applyBorder="1" applyAlignment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right" vertical="center" wrapText="1" readingOrder="2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40" workbookViewId="0">
      <selection activeCell="L16" sqref="L16"/>
    </sheetView>
  </sheetViews>
  <sheetFormatPr baseColWidth="10" defaultColWidth="9.140625" defaultRowHeight="15" x14ac:dyDescent="0.25"/>
  <cols>
    <col min="1" max="1" width="16.140625" customWidth="1"/>
    <col min="2" max="2" width="14.7109375" customWidth="1"/>
    <col min="3" max="3" width="34" customWidth="1"/>
    <col min="4" max="4" width="28.5703125" customWidth="1"/>
    <col min="5" max="5" width="27.85546875" customWidth="1"/>
    <col min="6" max="6" width="40" customWidth="1"/>
    <col min="7" max="7" width="17.28515625" customWidth="1"/>
    <col min="8" max="8" width="17.85546875" customWidth="1"/>
    <col min="9" max="9" width="25.5703125" customWidth="1"/>
  </cols>
  <sheetData>
    <row r="1" spans="1:9" ht="63" x14ac:dyDescent="0.25">
      <c r="A1" s="5" t="s">
        <v>53</v>
      </c>
      <c r="B1" s="3" t="s">
        <v>54</v>
      </c>
      <c r="C1" s="3" t="s">
        <v>55</v>
      </c>
      <c r="D1" s="4" t="s">
        <v>56</v>
      </c>
      <c r="E1" s="4" t="s">
        <v>57</v>
      </c>
      <c r="F1" s="5" t="s">
        <v>60</v>
      </c>
      <c r="G1" s="5" t="s">
        <v>58</v>
      </c>
      <c r="H1" s="4" t="s">
        <v>59</v>
      </c>
      <c r="I1" s="5" t="s">
        <v>61</v>
      </c>
    </row>
    <row r="2" spans="1:9" ht="29.25" customHeight="1" x14ac:dyDescent="0.25">
      <c r="A2" s="1" t="s">
        <v>49</v>
      </c>
      <c r="B2" s="6" t="s">
        <v>0</v>
      </c>
      <c r="C2" s="7">
        <v>10</v>
      </c>
      <c r="D2" s="8">
        <v>10</v>
      </c>
      <c r="E2" s="8"/>
      <c r="F2" s="8"/>
      <c r="G2" s="8">
        <v>13</v>
      </c>
      <c r="H2" s="8"/>
      <c r="I2" s="8"/>
    </row>
    <row r="3" spans="1:9" ht="29.25" customHeight="1" x14ac:dyDescent="0.25">
      <c r="A3" s="1" t="s">
        <v>49</v>
      </c>
      <c r="B3" s="9" t="s">
        <v>1</v>
      </c>
      <c r="C3" s="10">
        <v>400</v>
      </c>
      <c r="D3" s="4">
        <v>347</v>
      </c>
      <c r="E3" s="2"/>
      <c r="F3" s="8"/>
      <c r="G3" s="4">
        <v>70</v>
      </c>
      <c r="H3" s="2"/>
      <c r="I3" s="8"/>
    </row>
    <row r="4" spans="1:9" ht="29.25" customHeight="1" x14ac:dyDescent="0.25">
      <c r="A4" s="1" t="s">
        <v>49</v>
      </c>
      <c r="B4" s="6" t="s">
        <v>2</v>
      </c>
      <c r="C4" s="7">
        <v>700</v>
      </c>
      <c r="D4" s="8">
        <v>659</v>
      </c>
      <c r="E4" s="8">
        <v>6</v>
      </c>
      <c r="F4" s="11">
        <v>35</v>
      </c>
      <c r="G4" s="8">
        <v>100</v>
      </c>
      <c r="H4" s="8"/>
      <c r="I4" s="8"/>
    </row>
    <row r="5" spans="1:9" ht="29.25" customHeight="1" x14ac:dyDescent="0.25">
      <c r="A5" s="1" t="s">
        <v>49</v>
      </c>
      <c r="B5" s="6" t="s">
        <v>3</v>
      </c>
      <c r="C5" s="7">
        <v>566.5</v>
      </c>
      <c r="D5" s="8">
        <v>366.5</v>
      </c>
      <c r="E5" s="8"/>
      <c r="F5" s="11">
        <v>200</v>
      </c>
      <c r="G5" s="7"/>
      <c r="H5" s="8"/>
      <c r="I5" s="11">
        <v>30</v>
      </c>
    </row>
    <row r="6" spans="1:9" ht="29.25" customHeight="1" x14ac:dyDescent="0.25">
      <c r="A6" s="1" t="s">
        <v>49</v>
      </c>
      <c r="B6" s="12" t="s">
        <v>4</v>
      </c>
      <c r="C6" s="7">
        <v>1131</v>
      </c>
      <c r="D6" s="8">
        <v>833</v>
      </c>
      <c r="E6" s="8">
        <v>242</v>
      </c>
      <c r="F6" s="8">
        <v>104</v>
      </c>
      <c r="G6" s="8">
        <v>150</v>
      </c>
      <c r="H6" s="8">
        <v>1250</v>
      </c>
      <c r="I6" s="8"/>
    </row>
    <row r="7" spans="1:9" ht="29.25" customHeight="1" x14ac:dyDescent="0.25">
      <c r="A7" s="1" t="s">
        <v>49</v>
      </c>
      <c r="B7" s="6" t="s">
        <v>5</v>
      </c>
      <c r="C7" s="7"/>
      <c r="D7" s="8"/>
      <c r="E7" s="8"/>
      <c r="F7" s="8"/>
      <c r="G7" s="8"/>
      <c r="H7" s="8"/>
      <c r="I7" s="8"/>
    </row>
    <row r="8" spans="1:9" ht="29.25" customHeight="1" x14ac:dyDescent="0.25">
      <c r="A8" s="1" t="s">
        <v>49</v>
      </c>
      <c r="B8" s="6" t="s">
        <v>6</v>
      </c>
      <c r="C8" s="13">
        <v>2984</v>
      </c>
      <c r="D8" s="8">
        <v>2784</v>
      </c>
      <c r="E8" s="8">
        <v>200</v>
      </c>
      <c r="F8" s="8"/>
      <c r="G8" s="8"/>
      <c r="H8" s="8">
        <v>400</v>
      </c>
      <c r="I8" s="8"/>
    </row>
    <row r="9" spans="1:9" ht="29.25" customHeight="1" x14ac:dyDescent="0.25">
      <c r="A9" s="1" t="s">
        <v>49</v>
      </c>
      <c r="B9" s="6" t="s">
        <v>7</v>
      </c>
      <c r="C9" s="13"/>
      <c r="D9" s="8"/>
      <c r="E9" s="8"/>
      <c r="F9" s="8"/>
      <c r="G9" s="8"/>
      <c r="H9" s="8"/>
      <c r="I9" s="8"/>
    </row>
    <row r="10" spans="1:9" ht="29.25" customHeight="1" x14ac:dyDescent="0.25">
      <c r="A10" s="1" t="s">
        <v>49</v>
      </c>
      <c r="B10" s="6" t="s">
        <v>8</v>
      </c>
      <c r="C10" s="14">
        <v>9837.5</v>
      </c>
      <c r="D10" s="4"/>
      <c r="E10" s="4"/>
      <c r="F10" s="8">
        <v>9842</v>
      </c>
      <c r="G10" s="8"/>
      <c r="H10" s="8"/>
      <c r="I10" s="8">
        <v>145</v>
      </c>
    </row>
    <row r="11" spans="1:9" ht="29.25" customHeight="1" x14ac:dyDescent="0.25">
      <c r="A11" s="1" t="s">
        <v>49</v>
      </c>
      <c r="B11" s="6" t="s">
        <v>9</v>
      </c>
      <c r="C11" s="8">
        <f>SUM(C2:C10)</f>
        <v>15629</v>
      </c>
      <c r="D11" s="8">
        <f>SUM(D2:D10)</f>
        <v>4999.5</v>
      </c>
      <c r="E11" s="8">
        <f>SUM(E2:E10)</f>
        <v>448</v>
      </c>
      <c r="F11" s="8">
        <f>SUM(F4:F10)</f>
        <v>10181</v>
      </c>
      <c r="G11" s="8">
        <f>SUM(G2:G10:G10)</f>
        <v>333</v>
      </c>
      <c r="H11" s="8">
        <f>SUM(H3:H10)</f>
        <v>1650</v>
      </c>
      <c r="I11" s="8">
        <f>SUM(I3:I10)</f>
        <v>175</v>
      </c>
    </row>
    <row r="12" spans="1:9" ht="29.25" customHeight="1" x14ac:dyDescent="0.25">
      <c r="A12" s="15" t="s">
        <v>50</v>
      </c>
      <c r="B12" s="6" t="s">
        <v>0</v>
      </c>
      <c r="C12" s="7">
        <v>20</v>
      </c>
      <c r="D12" s="8">
        <v>10</v>
      </c>
      <c r="E12" s="8"/>
      <c r="F12" s="11" t="s">
        <v>10</v>
      </c>
      <c r="G12" s="11">
        <v>2</v>
      </c>
      <c r="H12" s="8"/>
      <c r="I12" s="16"/>
    </row>
    <row r="13" spans="1:9" ht="29.25" customHeight="1" x14ac:dyDescent="0.25">
      <c r="A13" s="15" t="s">
        <v>50</v>
      </c>
      <c r="B13" s="9" t="s">
        <v>1</v>
      </c>
      <c r="C13" s="10">
        <v>400</v>
      </c>
      <c r="D13" s="4">
        <v>336</v>
      </c>
      <c r="E13" s="2"/>
      <c r="F13" s="8"/>
      <c r="G13" s="11">
        <v>8</v>
      </c>
      <c r="H13" s="2"/>
      <c r="I13" s="16"/>
    </row>
    <row r="14" spans="1:9" ht="29.25" customHeight="1" x14ac:dyDescent="0.25">
      <c r="A14" s="15" t="s">
        <v>50</v>
      </c>
      <c r="B14" s="6" t="s">
        <v>2</v>
      </c>
      <c r="C14" s="7">
        <v>735</v>
      </c>
      <c r="D14" s="8">
        <v>618.5</v>
      </c>
      <c r="E14" s="8">
        <v>6</v>
      </c>
      <c r="F14" s="17" t="s">
        <v>11</v>
      </c>
      <c r="G14" s="11">
        <v>12</v>
      </c>
      <c r="H14" s="8"/>
      <c r="I14" s="16"/>
    </row>
    <row r="15" spans="1:9" ht="29.25" customHeight="1" x14ac:dyDescent="0.25">
      <c r="A15" s="15" t="s">
        <v>50</v>
      </c>
      <c r="B15" s="6" t="s">
        <v>3</v>
      </c>
      <c r="C15" s="7">
        <v>400</v>
      </c>
      <c r="D15" s="8">
        <v>139.5</v>
      </c>
      <c r="E15" s="8"/>
      <c r="F15" s="17" t="s">
        <v>12</v>
      </c>
      <c r="G15" s="11"/>
      <c r="H15" s="11"/>
      <c r="I15" s="18" t="s">
        <v>13</v>
      </c>
    </row>
    <row r="16" spans="1:9" ht="29.25" customHeight="1" x14ac:dyDescent="0.25">
      <c r="A16" s="15" t="s">
        <v>50</v>
      </c>
      <c r="B16" s="12" t="s">
        <v>4</v>
      </c>
      <c r="C16" s="7">
        <v>2046</v>
      </c>
      <c r="D16" s="8">
        <v>1217</v>
      </c>
      <c r="E16" s="8">
        <v>242</v>
      </c>
      <c r="F16" s="17" t="s">
        <v>14</v>
      </c>
      <c r="G16" s="11">
        <v>23</v>
      </c>
      <c r="H16" s="11">
        <v>65</v>
      </c>
      <c r="I16" s="16"/>
    </row>
    <row r="17" spans="1:9" ht="29.25" customHeight="1" x14ac:dyDescent="0.25">
      <c r="A17" s="15" t="s">
        <v>50</v>
      </c>
      <c r="B17" s="6" t="s">
        <v>5</v>
      </c>
      <c r="C17" s="7">
        <v>277</v>
      </c>
      <c r="D17" s="8">
        <v>150</v>
      </c>
      <c r="E17" s="8"/>
      <c r="F17" s="11"/>
      <c r="G17" s="11"/>
      <c r="H17" s="8"/>
      <c r="I17" s="16"/>
    </row>
    <row r="18" spans="1:9" ht="29.25" customHeight="1" x14ac:dyDescent="0.25">
      <c r="A18" s="15" t="s">
        <v>50</v>
      </c>
      <c r="B18" s="6" t="s">
        <v>6</v>
      </c>
      <c r="C18" s="13">
        <v>3449.5</v>
      </c>
      <c r="D18" s="8">
        <v>3031.5</v>
      </c>
      <c r="E18" s="8">
        <v>200</v>
      </c>
      <c r="F18" s="11" t="s">
        <v>15</v>
      </c>
      <c r="G18" s="11"/>
      <c r="H18" s="8">
        <v>40</v>
      </c>
      <c r="I18" s="16"/>
    </row>
    <row r="19" spans="1:9" ht="29.25" customHeight="1" x14ac:dyDescent="0.25">
      <c r="A19" s="15" t="s">
        <v>50</v>
      </c>
      <c r="B19" s="6" t="s">
        <v>7</v>
      </c>
      <c r="C19" s="13">
        <v>500</v>
      </c>
      <c r="D19" s="8"/>
      <c r="E19" s="8"/>
      <c r="F19" s="11">
        <v>489</v>
      </c>
      <c r="G19" s="11"/>
      <c r="H19" s="8"/>
      <c r="I19" s="16" t="s">
        <v>16</v>
      </c>
    </row>
    <row r="20" spans="1:9" ht="29.25" customHeight="1" x14ac:dyDescent="0.25">
      <c r="A20" s="15" t="s">
        <v>50</v>
      </c>
      <c r="B20" s="6" t="s">
        <v>8</v>
      </c>
      <c r="C20" s="14">
        <v>9105</v>
      </c>
      <c r="D20" s="4"/>
      <c r="E20" s="4"/>
      <c r="F20" s="19" t="s">
        <v>17</v>
      </c>
      <c r="G20" s="11"/>
      <c r="H20" s="8"/>
      <c r="I20" s="19" t="s">
        <v>18</v>
      </c>
    </row>
    <row r="21" spans="1:9" ht="29.25" customHeight="1" x14ac:dyDescent="0.25">
      <c r="A21" s="15" t="s">
        <v>50</v>
      </c>
      <c r="B21" s="9" t="s">
        <v>9</v>
      </c>
      <c r="C21" s="4">
        <f>SUM(C12:C20)</f>
        <v>16932.5</v>
      </c>
      <c r="D21" s="4">
        <f>SUM(D12:D20)</f>
        <v>5502.5</v>
      </c>
      <c r="E21" s="4">
        <f>SUM(E12:E20)</f>
        <v>448</v>
      </c>
      <c r="F21" s="20">
        <v>10590</v>
      </c>
      <c r="G21" s="21">
        <f>SUM(G12:G20)</f>
        <v>45</v>
      </c>
      <c r="H21" s="21">
        <f>SUM(H12:H20)</f>
        <v>105</v>
      </c>
      <c r="I21" s="19" t="s">
        <v>19</v>
      </c>
    </row>
    <row r="22" spans="1:9" ht="29.25" customHeight="1" x14ac:dyDescent="0.25">
      <c r="A22" s="1" t="s">
        <v>51</v>
      </c>
      <c r="B22" s="6" t="s">
        <v>0</v>
      </c>
      <c r="C22" s="7">
        <v>20</v>
      </c>
      <c r="D22" s="7">
        <v>10</v>
      </c>
      <c r="E22" s="7"/>
      <c r="F22" s="17"/>
      <c r="G22" s="11" t="s">
        <v>20</v>
      </c>
      <c r="H22" s="8"/>
      <c r="I22" s="16"/>
    </row>
    <row r="23" spans="1:9" ht="29.25" customHeight="1" x14ac:dyDescent="0.25">
      <c r="A23" s="1" t="s">
        <v>51</v>
      </c>
      <c r="B23" s="9" t="s">
        <v>1</v>
      </c>
      <c r="C23" s="10">
        <v>400</v>
      </c>
      <c r="D23" s="10">
        <v>347</v>
      </c>
      <c r="E23" s="22"/>
      <c r="F23" s="7"/>
      <c r="G23" s="11" t="s">
        <v>21</v>
      </c>
      <c r="H23" s="2"/>
      <c r="I23" s="16"/>
    </row>
    <row r="24" spans="1:9" ht="29.25" customHeight="1" x14ac:dyDescent="0.25">
      <c r="A24" s="1" t="s">
        <v>51</v>
      </c>
      <c r="B24" s="6" t="s">
        <v>2</v>
      </c>
      <c r="C24" s="7">
        <v>730</v>
      </c>
      <c r="D24" s="7">
        <v>659</v>
      </c>
      <c r="E24" s="7">
        <v>6</v>
      </c>
      <c r="F24" s="17" t="s">
        <v>22</v>
      </c>
      <c r="G24" s="11" t="s">
        <v>23</v>
      </c>
      <c r="H24" s="8"/>
      <c r="I24" s="16"/>
    </row>
    <row r="25" spans="1:9" ht="29.25" customHeight="1" x14ac:dyDescent="0.25">
      <c r="A25" s="1" t="s">
        <v>51</v>
      </c>
      <c r="B25" s="6" t="s">
        <v>3</v>
      </c>
      <c r="C25" s="7">
        <v>400</v>
      </c>
      <c r="D25" s="23">
        <v>366.5</v>
      </c>
      <c r="E25" s="7"/>
      <c r="F25" s="17">
        <v>200</v>
      </c>
      <c r="G25" s="11"/>
      <c r="H25" s="11"/>
      <c r="I25" s="18" t="s">
        <v>24</v>
      </c>
    </row>
    <row r="26" spans="1:9" ht="29.25" customHeight="1" x14ac:dyDescent="0.25">
      <c r="A26" s="1" t="s">
        <v>51</v>
      </c>
      <c r="B26" s="12" t="s">
        <v>4</v>
      </c>
      <c r="C26" s="7">
        <v>2000</v>
      </c>
      <c r="D26" s="7">
        <v>833</v>
      </c>
      <c r="E26" s="7">
        <v>242</v>
      </c>
      <c r="F26" s="24" t="s">
        <v>25</v>
      </c>
      <c r="G26" s="11" t="s">
        <v>26</v>
      </c>
      <c r="H26" s="11" t="s">
        <v>27</v>
      </c>
      <c r="I26" s="16"/>
    </row>
    <row r="27" spans="1:9" ht="29.25" customHeight="1" x14ac:dyDescent="0.25">
      <c r="A27" s="1" t="s">
        <v>51</v>
      </c>
      <c r="B27" s="6" t="s">
        <v>5</v>
      </c>
      <c r="C27" s="7">
        <v>300</v>
      </c>
      <c r="D27" s="7"/>
      <c r="E27" s="7"/>
      <c r="F27" s="17"/>
      <c r="G27" s="11"/>
      <c r="H27" s="8"/>
      <c r="I27" s="16"/>
    </row>
    <row r="28" spans="1:9" ht="29.25" customHeight="1" x14ac:dyDescent="0.25">
      <c r="A28" s="1" t="s">
        <v>51</v>
      </c>
      <c r="B28" s="6" t="s">
        <v>6</v>
      </c>
      <c r="C28" s="7">
        <v>3450</v>
      </c>
      <c r="D28" s="7">
        <v>2784</v>
      </c>
      <c r="E28" s="7">
        <v>200</v>
      </c>
      <c r="F28" s="17"/>
      <c r="G28" s="11"/>
      <c r="H28" s="11" t="s">
        <v>28</v>
      </c>
      <c r="I28" s="16"/>
    </row>
    <row r="29" spans="1:9" ht="29.25" customHeight="1" x14ac:dyDescent="0.25">
      <c r="A29" s="1" t="s">
        <v>51</v>
      </c>
      <c r="B29" s="9" t="s">
        <v>7</v>
      </c>
      <c r="C29" s="10">
        <v>500</v>
      </c>
      <c r="D29" s="10"/>
      <c r="E29" s="10"/>
      <c r="F29" s="25">
        <v>500</v>
      </c>
      <c r="G29" s="25"/>
      <c r="H29" s="10"/>
      <c r="I29" s="26" t="s">
        <v>16</v>
      </c>
    </row>
    <row r="30" spans="1:9" ht="29.25" customHeight="1" x14ac:dyDescent="0.25">
      <c r="A30" s="1" t="s">
        <v>51</v>
      </c>
      <c r="B30" s="6" t="s">
        <v>8</v>
      </c>
      <c r="C30" s="10">
        <v>9100</v>
      </c>
      <c r="D30" s="10"/>
      <c r="E30" s="10"/>
      <c r="F30" s="27" t="s">
        <v>29</v>
      </c>
      <c r="G30" s="11"/>
      <c r="H30" s="8"/>
      <c r="I30" s="19" t="s">
        <v>30</v>
      </c>
    </row>
    <row r="31" spans="1:9" ht="29.25" customHeight="1" x14ac:dyDescent="0.25">
      <c r="A31" s="1" t="s">
        <v>51</v>
      </c>
      <c r="B31" s="9" t="s">
        <v>9</v>
      </c>
      <c r="C31" s="10">
        <f>SUM(C22:C30)</f>
        <v>16900</v>
      </c>
      <c r="D31" s="10">
        <f>SUM(D22:D30)</f>
        <v>4999.5</v>
      </c>
      <c r="E31" s="10">
        <f>SUM(E22:E30)</f>
        <v>448</v>
      </c>
      <c r="F31" s="28">
        <v>10715</v>
      </c>
      <c r="G31" s="21" t="s">
        <v>31</v>
      </c>
      <c r="H31" s="21" t="s">
        <v>32</v>
      </c>
      <c r="I31" s="29" t="s">
        <v>33</v>
      </c>
    </row>
    <row r="32" spans="1:9" ht="29.25" customHeight="1" x14ac:dyDescent="0.25">
      <c r="A32" s="15" t="s">
        <v>52</v>
      </c>
      <c r="B32" s="6" t="s">
        <v>0</v>
      </c>
      <c r="C32" s="7">
        <v>10</v>
      </c>
      <c r="D32" s="7">
        <v>10</v>
      </c>
      <c r="E32" s="7"/>
      <c r="F32" s="17"/>
      <c r="G32" s="11"/>
      <c r="H32" s="8"/>
      <c r="I32" s="16"/>
    </row>
    <row r="33" spans="1:9" ht="29.25" customHeight="1" x14ac:dyDescent="0.25">
      <c r="A33" s="15" t="s">
        <v>52</v>
      </c>
      <c r="B33" s="9" t="s">
        <v>1</v>
      </c>
      <c r="C33" s="10">
        <v>400</v>
      </c>
      <c r="D33" s="10">
        <v>336</v>
      </c>
      <c r="E33" s="22"/>
      <c r="F33" s="7"/>
      <c r="G33" s="11" t="s">
        <v>34</v>
      </c>
      <c r="H33" s="2"/>
      <c r="I33" s="16"/>
    </row>
    <row r="34" spans="1:9" ht="29.25" customHeight="1" x14ac:dyDescent="0.25">
      <c r="A34" s="15" t="s">
        <v>52</v>
      </c>
      <c r="B34" s="6" t="s">
        <v>2</v>
      </c>
      <c r="C34" s="7">
        <v>700</v>
      </c>
      <c r="D34" s="7">
        <v>496</v>
      </c>
      <c r="E34" s="7">
        <v>6</v>
      </c>
      <c r="F34" s="17" t="s">
        <v>35</v>
      </c>
      <c r="G34" s="11" t="s">
        <v>36</v>
      </c>
      <c r="H34" s="8"/>
      <c r="I34" s="16"/>
    </row>
    <row r="35" spans="1:9" ht="29.25" customHeight="1" x14ac:dyDescent="0.25">
      <c r="A35" s="15" t="s">
        <v>52</v>
      </c>
      <c r="B35" s="6" t="s">
        <v>3</v>
      </c>
      <c r="C35" s="7">
        <v>566.5</v>
      </c>
      <c r="D35" s="23">
        <v>150</v>
      </c>
      <c r="E35" s="7"/>
      <c r="F35" s="17">
        <v>200</v>
      </c>
      <c r="G35" s="11" t="s">
        <v>37</v>
      </c>
      <c r="H35" s="11"/>
      <c r="I35" s="18"/>
    </row>
    <row r="36" spans="1:9" ht="29.25" customHeight="1" x14ac:dyDescent="0.25">
      <c r="A36" s="15" t="s">
        <v>52</v>
      </c>
      <c r="B36" s="12" t="s">
        <v>4</v>
      </c>
      <c r="C36" s="7">
        <v>1131</v>
      </c>
      <c r="D36" s="7">
        <v>944</v>
      </c>
      <c r="E36" s="7">
        <v>242</v>
      </c>
      <c r="F36" s="17" t="s">
        <v>38</v>
      </c>
      <c r="G36" s="11" t="s">
        <v>39</v>
      </c>
      <c r="H36" s="11" t="s">
        <v>40</v>
      </c>
      <c r="I36" s="16"/>
    </row>
    <row r="37" spans="1:9" ht="29.25" customHeight="1" x14ac:dyDescent="0.25">
      <c r="A37" s="15" t="s">
        <v>52</v>
      </c>
      <c r="B37" s="6" t="s">
        <v>5</v>
      </c>
      <c r="C37" s="7">
        <v>120</v>
      </c>
      <c r="D37" s="7">
        <v>100</v>
      </c>
      <c r="E37" s="7"/>
      <c r="F37" s="17"/>
      <c r="G37" s="11" t="s">
        <v>41</v>
      </c>
      <c r="H37" s="8"/>
      <c r="I37" s="16"/>
    </row>
    <row r="38" spans="1:9" ht="29.25" customHeight="1" x14ac:dyDescent="0.25">
      <c r="A38" s="15" t="s">
        <v>52</v>
      </c>
      <c r="B38" s="6" t="s">
        <v>6</v>
      </c>
      <c r="C38" s="7">
        <v>2574</v>
      </c>
      <c r="D38" s="7">
        <v>2374</v>
      </c>
      <c r="E38" s="7">
        <v>200</v>
      </c>
      <c r="F38" s="17"/>
      <c r="G38" s="11" t="s">
        <v>42</v>
      </c>
      <c r="H38" s="8">
        <v>150</v>
      </c>
      <c r="I38" s="16"/>
    </row>
    <row r="39" spans="1:9" ht="29.25" customHeight="1" x14ac:dyDescent="0.25">
      <c r="A39" s="15" t="s">
        <v>52</v>
      </c>
      <c r="B39" s="9" t="s">
        <v>7</v>
      </c>
      <c r="C39" s="10" t="s">
        <v>43</v>
      </c>
      <c r="D39" s="10" t="s">
        <v>43</v>
      </c>
      <c r="E39" s="10" t="s">
        <v>43</v>
      </c>
      <c r="F39" s="25" t="s">
        <v>43</v>
      </c>
      <c r="G39" s="25" t="s">
        <v>43</v>
      </c>
      <c r="H39" s="25" t="s">
        <v>43</v>
      </c>
      <c r="I39" s="10" t="s">
        <v>43</v>
      </c>
    </row>
    <row r="40" spans="1:9" ht="29.25" customHeight="1" x14ac:dyDescent="0.25">
      <c r="A40" s="15" t="s">
        <v>52</v>
      </c>
      <c r="B40" s="9" t="s">
        <v>8</v>
      </c>
      <c r="C40" s="10">
        <v>9837.5</v>
      </c>
      <c r="D40" s="10"/>
      <c r="E40" s="10"/>
      <c r="F40" s="30" t="s">
        <v>44</v>
      </c>
      <c r="G40" s="21"/>
      <c r="H40" s="4"/>
      <c r="I40" s="29" t="s">
        <v>45</v>
      </c>
    </row>
    <row r="41" spans="1:9" ht="29.25" customHeight="1" x14ac:dyDescent="0.25">
      <c r="A41" s="15" t="s">
        <v>52</v>
      </c>
      <c r="B41" s="9" t="s">
        <v>9</v>
      </c>
      <c r="C41" s="10">
        <f>SUM(C32:C40)</f>
        <v>15339</v>
      </c>
      <c r="D41" s="31">
        <f>SUM(D32:D40)</f>
        <v>4410</v>
      </c>
      <c r="E41" s="10">
        <f>SUM(E32:E40)</f>
        <v>448</v>
      </c>
      <c r="F41" s="30" t="s">
        <v>46</v>
      </c>
      <c r="G41" s="21" t="s">
        <v>47</v>
      </c>
      <c r="H41" s="21" t="s">
        <v>48</v>
      </c>
      <c r="I41" s="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2025-06-11T11:20:16Z</dcterms:modified>
</cp:coreProperties>
</file>