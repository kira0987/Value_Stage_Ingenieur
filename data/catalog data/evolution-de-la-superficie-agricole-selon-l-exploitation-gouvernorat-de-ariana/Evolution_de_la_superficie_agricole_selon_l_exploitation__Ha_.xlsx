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8" i="1" l="1"/>
  <c r="F80" i="1"/>
  <c r="F77" i="1"/>
  <c r="D79" i="1"/>
  <c r="D77" i="1"/>
  <c r="D76" i="1"/>
  <c r="D75" i="1"/>
  <c r="F41" i="1" l="1"/>
  <c r="F33" i="1"/>
  <c r="F25" i="1"/>
  <c r="F17" i="1"/>
  <c r="F9" i="1"/>
  <c r="E57" i="1"/>
  <c r="E49" i="1"/>
  <c r="E41" i="1"/>
  <c r="E33" i="1"/>
  <c r="E25" i="1"/>
  <c r="E17" i="1"/>
  <c r="E9" i="1"/>
  <c r="D41" i="1"/>
  <c r="D33" i="1"/>
  <c r="D25" i="1"/>
  <c r="D17" i="1"/>
  <c r="D9" i="1"/>
  <c r="G57" i="1"/>
  <c r="G49" i="1"/>
  <c r="G41" i="1"/>
  <c r="G33" i="1"/>
  <c r="G25" i="1"/>
  <c r="G17" i="1"/>
  <c r="G9" i="1"/>
  <c r="H57" i="1"/>
  <c r="H49" i="1"/>
  <c r="H41" i="1"/>
  <c r="H33" i="1"/>
  <c r="H25" i="1"/>
  <c r="H17" i="1"/>
  <c r="H9" i="1"/>
  <c r="I57" i="1"/>
  <c r="I49" i="1"/>
  <c r="I41" i="1"/>
  <c r="I33" i="1"/>
  <c r="I25" i="1"/>
  <c r="I17" i="1"/>
  <c r="I9" i="1"/>
  <c r="J57" i="1"/>
  <c r="J49" i="1"/>
  <c r="J41" i="1"/>
  <c r="J33" i="1"/>
  <c r="J25" i="1"/>
  <c r="J17" i="1"/>
  <c r="J9" i="1"/>
</calcChain>
</file>

<file path=xl/sharedStrings.xml><?xml version="1.0" encoding="utf-8"?>
<sst xmlns="http://schemas.openxmlformats.org/spreadsheetml/2006/main" count="90" uniqueCount="18">
  <si>
    <t>Annee</t>
  </si>
  <si>
    <t>Delegation</t>
  </si>
  <si>
    <t>Code_Geographique</t>
  </si>
  <si>
    <t>أريانة المدينة</t>
  </si>
  <si>
    <t>سكرة</t>
  </si>
  <si>
    <t>رواد</t>
  </si>
  <si>
    <t>قلعة الأندلس</t>
  </si>
  <si>
    <t>سيدي ثابت</t>
  </si>
  <si>
    <t>حي التضامن</t>
  </si>
  <si>
    <t>المنيهلة</t>
  </si>
  <si>
    <t xml:space="preserve">المجموع   </t>
  </si>
  <si>
    <t>Cerealiculture_t</t>
  </si>
  <si>
    <t>Legumineuses_t</t>
  </si>
  <si>
    <t>Fourrages_t</t>
  </si>
  <si>
    <t>Olives_t</t>
  </si>
  <si>
    <t>Cultures_maraicheres_t</t>
  </si>
  <si>
    <t>Cultures_industrielles_t</t>
  </si>
  <si>
    <t>Arboriculture_t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</si>
</sst>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333333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1" xfId="0" applyFont="1" applyBorder="1"/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/>
    </xf>
    <xf numFmtId="3" fontId="4" fillId="0" borderId="1" xfId="1" applyNumberFormat="1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/>
    <xf numFmtId="0" fontId="4" fillId="0" borderId="1" xfId="0" applyFont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4" fontId="4" fillId="0" borderId="1" xfId="1" applyNumberFormat="1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2" xfId="0" applyFill="1" applyBorder="1"/>
  </cellXfs>
  <cellStyles count="2">
    <cellStyle name="Normal" xfId="0" builtinId="0"/>
    <cellStyle name="Normal 2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cem/AppData/Local/Temp/Rar$DIa7588.6058/&#1608;&#1604;&#1575;&#1610;&#1577;%20&#1571;&#1585;&#1610;&#1575;&#1606;&#1577;%20&#1601;&#1610;%20&#1571;&#1585;&#1602;&#1575;&#1605;%20%20%20&#1607;&#1606;&#1575;&#1569;&#1569;2022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تطور انتاج الأشجار المثمرة"/>
      <sheetName val="قطاع الاعلاف"/>
      <sheetName val="حبوب-بقول-ز صناعية"/>
      <sheetName val="خضروات"/>
      <sheetName val="اشجار مثمرة"/>
      <sheetName val="توزيع مساحات الأشجار المثمرة "/>
      <sheetName val="توزيع المساحات السقوية"/>
      <sheetName val="Feuil2"/>
      <sheetName val="مؤشرات المساحات السقوية"/>
      <sheetName val="تطور المساحات و الانتاج ع و خ"/>
      <sheetName val="Feuil1"/>
      <sheetName val="Feuil3"/>
    </sheetNames>
    <sheetDataSet>
      <sheetData sheetId="0" refreshError="1"/>
      <sheetData sheetId="1" refreshError="1"/>
      <sheetData sheetId="2" refreshError="1"/>
      <sheetData sheetId="3" refreshError="1">
        <row r="43">
          <cell r="D43">
            <v>12</v>
          </cell>
          <cell r="G43">
            <v>87</v>
          </cell>
          <cell r="J43">
            <v>125</v>
          </cell>
        </row>
      </sheetData>
      <sheetData sheetId="4" refreshError="1"/>
      <sheetData sheetId="5" refreshError="1">
        <row r="5">
          <cell r="Z5">
            <v>1837</v>
          </cell>
        </row>
        <row r="6">
          <cell r="Z6">
            <v>84</v>
          </cell>
        </row>
        <row r="25">
          <cell r="P25">
            <v>133.85</v>
          </cell>
          <cell r="U25">
            <v>32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tabSelected="1" topLeftCell="A55" workbookViewId="0">
      <selection activeCell="I73" sqref="I73"/>
    </sheetView>
  </sheetViews>
  <sheetFormatPr baseColWidth="10" defaultColWidth="9.140625" defaultRowHeight="15" x14ac:dyDescent="0.25"/>
  <cols>
    <col min="2" max="2" width="16.7109375" customWidth="1"/>
    <col min="3" max="3" width="13.140625" customWidth="1"/>
    <col min="4" max="4" width="15.140625" customWidth="1"/>
    <col min="5" max="5" width="19.85546875" customWidth="1"/>
    <col min="6" max="7" width="15.7109375" customWidth="1"/>
    <col min="8" max="8" width="11.140625" customWidth="1"/>
    <col min="9" max="9" width="12.28515625" customWidth="1"/>
    <col min="10" max="10" width="13.1406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3" t="s">
        <v>15</v>
      </c>
      <c r="E1" s="3" t="s">
        <v>16</v>
      </c>
      <c r="F1" s="3" t="s">
        <v>17</v>
      </c>
      <c r="G1" s="2" t="s">
        <v>11</v>
      </c>
      <c r="H1" s="2" t="s">
        <v>12</v>
      </c>
      <c r="I1" s="2" t="s">
        <v>13</v>
      </c>
      <c r="J1" s="2" t="s">
        <v>14</v>
      </c>
    </row>
    <row r="2" spans="1:10" ht="18" x14ac:dyDescent="0.25">
      <c r="A2" s="1">
        <v>2014</v>
      </c>
      <c r="B2" s="16" t="s">
        <v>3</v>
      </c>
      <c r="C2" s="4">
        <v>1251</v>
      </c>
      <c r="D2" s="6">
        <v>0</v>
      </c>
      <c r="E2" s="7">
        <v>0</v>
      </c>
      <c r="F2" s="6">
        <v>0</v>
      </c>
      <c r="G2" s="5">
        <v>0</v>
      </c>
      <c r="H2" s="5">
        <v>0</v>
      </c>
      <c r="I2" s="5">
        <v>0</v>
      </c>
      <c r="J2" s="5">
        <v>0</v>
      </c>
    </row>
    <row r="3" spans="1:10" ht="18" x14ac:dyDescent="0.25">
      <c r="A3" s="1">
        <v>2014</v>
      </c>
      <c r="B3" s="16" t="s">
        <v>4</v>
      </c>
      <c r="C3" s="4">
        <v>1252</v>
      </c>
      <c r="D3" s="6">
        <v>48</v>
      </c>
      <c r="E3" s="9">
        <v>7</v>
      </c>
      <c r="F3" s="10">
        <v>242</v>
      </c>
      <c r="G3" s="5">
        <v>0</v>
      </c>
      <c r="H3" s="5">
        <v>0</v>
      </c>
      <c r="I3" s="8">
        <v>39</v>
      </c>
      <c r="J3" s="5">
        <v>58</v>
      </c>
    </row>
    <row r="4" spans="1:10" ht="18" x14ac:dyDescent="0.25">
      <c r="A4" s="1">
        <v>2014</v>
      </c>
      <c r="B4" s="16" t="s">
        <v>5</v>
      </c>
      <c r="C4" s="4">
        <v>1253</v>
      </c>
      <c r="D4" s="6">
        <v>174</v>
      </c>
      <c r="E4" s="9">
        <v>50</v>
      </c>
      <c r="F4" s="10">
        <v>68</v>
      </c>
      <c r="G4" s="8">
        <v>500</v>
      </c>
      <c r="H4" s="5">
        <v>12</v>
      </c>
      <c r="I4" s="8">
        <v>795</v>
      </c>
      <c r="J4" s="8">
        <v>232</v>
      </c>
    </row>
    <row r="5" spans="1:10" ht="18" x14ac:dyDescent="0.25">
      <c r="A5" s="1">
        <v>2014</v>
      </c>
      <c r="B5" s="16" t="s">
        <v>6</v>
      </c>
      <c r="C5" s="4">
        <v>1254</v>
      </c>
      <c r="D5" s="6">
        <v>897</v>
      </c>
      <c r="E5" s="6">
        <v>90</v>
      </c>
      <c r="F5" s="10">
        <v>102</v>
      </c>
      <c r="G5" s="8">
        <v>6000</v>
      </c>
      <c r="H5" s="5">
        <v>77</v>
      </c>
      <c r="I5" s="8">
        <v>5211</v>
      </c>
      <c r="J5" s="8">
        <v>362</v>
      </c>
    </row>
    <row r="6" spans="1:10" ht="18" x14ac:dyDescent="0.25">
      <c r="A6" s="1">
        <v>2014</v>
      </c>
      <c r="B6" s="16" t="s">
        <v>7</v>
      </c>
      <c r="C6" s="4">
        <v>1255</v>
      </c>
      <c r="D6" s="6">
        <v>389</v>
      </c>
      <c r="E6" s="9">
        <v>0</v>
      </c>
      <c r="F6" s="10">
        <v>1655</v>
      </c>
      <c r="G6" s="8">
        <v>2070</v>
      </c>
      <c r="H6" s="5">
        <v>20</v>
      </c>
      <c r="I6" s="8">
        <v>1270</v>
      </c>
      <c r="J6" s="8">
        <v>1796</v>
      </c>
    </row>
    <row r="7" spans="1:10" ht="18" x14ac:dyDescent="0.25">
      <c r="A7" s="1">
        <v>2014</v>
      </c>
      <c r="B7" s="16" t="s">
        <v>8</v>
      </c>
      <c r="C7" s="4">
        <v>1256</v>
      </c>
      <c r="D7" s="6">
        <v>0</v>
      </c>
      <c r="E7" s="7">
        <v>0</v>
      </c>
      <c r="F7" s="6">
        <v>0</v>
      </c>
      <c r="G7" s="5">
        <v>0</v>
      </c>
      <c r="H7" s="5">
        <v>0</v>
      </c>
      <c r="I7" s="5">
        <v>0</v>
      </c>
      <c r="J7" s="5">
        <v>0</v>
      </c>
    </row>
    <row r="8" spans="1:10" ht="18" x14ac:dyDescent="0.25">
      <c r="A8" s="1">
        <v>2014</v>
      </c>
      <c r="B8" s="16" t="s">
        <v>9</v>
      </c>
      <c r="C8" s="4">
        <v>1257</v>
      </c>
      <c r="D8" s="6">
        <v>0</v>
      </c>
      <c r="E8" s="9">
        <v>0</v>
      </c>
      <c r="F8" s="10">
        <v>36</v>
      </c>
      <c r="G8" s="5">
        <v>230</v>
      </c>
      <c r="H8" s="5">
        <v>6</v>
      </c>
      <c r="I8" s="8">
        <v>168</v>
      </c>
      <c r="J8" s="5">
        <v>159</v>
      </c>
    </row>
    <row r="9" spans="1:10" ht="18" x14ac:dyDescent="0.25">
      <c r="A9" s="1">
        <v>2014</v>
      </c>
      <c r="B9" s="17" t="s">
        <v>10</v>
      </c>
      <c r="C9" s="11"/>
      <c r="D9" s="8">
        <f>SUM(D2:D8)</f>
        <v>1508</v>
      </c>
      <c r="E9" s="8">
        <f>SUM(E2:E8)</f>
        <v>147</v>
      </c>
      <c r="F9" s="8">
        <f>SUM(F2:F8)</f>
        <v>2103</v>
      </c>
      <c r="G9" s="8">
        <f t="shared" ref="G9" si="0">SUM(G2:G8)</f>
        <v>8800</v>
      </c>
      <c r="H9" s="5">
        <f>SUM(H2:H8)</f>
        <v>115</v>
      </c>
      <c r="I9" s="8">
        <f t="shared" ref="I9" si="1">SUM(I2:I8)</f>
        <v>7483</v>
      </c>
      <c r="J9" s="8">
        <f t="shared" ref="J9" si="2">SUM(J2:J8)</f>
        <v>2607</v>
      </c>
    </row>
    <row r="10" spans="1:10" ht="18" x14ac:dyDescent="0.25">
      <c r="A10" s="1">
        <v>2015</v>
      </c>
      <c r="B10" s="16" t="s">
        <v>3</v>
      </c>
      <c r="C10" s="4">
        <v>1251</v>
      </c>
      <c r="D10" s="6">
        <v>0</v>
      </c>
      <c r="E10" s="6">
        <v>0</v>
      </c>
      <c r="F10" s="6">
        <v>0</v>
      </c>
      <c r="G10" s="5">
        <v>0</v>
      </c>
      <c r="H10" s="5">
        <v>0</v>
      </c>
      <c r="I10" s="5">
        <v>0</v>
      </c>
      <c r="J10" s="5">
        <v>0</v>
      </c>
    </row>
    <row r="11" spans="1:10" ht="18" x14ac:dyDescent="0.25">
      <c r="A11" s="1">
        <v>2015</v>
      </c>
      <c r="B11" s="16" t="s">
        <v>4</v>
      </c>
      <c r="C11" s="4">
        <v>1252</v>
      </c>
      <c r="D11" s="6">
        <v>50</v>
      </c>
      <c r="E11" s="6">
        <v>5</v>
      </c>
      <c r="F11" s="6">
        <v>242</v>
      </c>
      <c r="G11" s="5">
        <v>0</v>
      </c>
      <c r="H11" s="5">
        <v>0</v>
      </c>
      <c r="I11" s="5">
        <v>57</v>
      </c>
      <c r="J11" s="5">
        <v>58</v>
      </c>
    </row>
    <row r="12" spans="1:10" ht="18" x14ac:dyDescent="0.25">
      <c r="A12" s="1">
        <v>2015</v>
      </c>
      <c r="B12" s="16" t="s">
        <v>5</v>
      </c>
      <c r="C12" s="4">
        <v>1253</v>
      </c>
      <c r="D12" s="6">
        <v>172</v>
      </c>
      <c r="E12" s="6">
        <v>31</v>
      </c>
      <c r="F12" s="6">
        <v>68</v>
      </c>
      <c r="G12" s="8">
        <v>500</v>
      </c>
      <c r="H12" s="8">
        <v>0</v>
      </c>
      <c r="I12" s="8">
        <v>998</v>
      </c>
      <c r="J12" s="8">
        <v>161</v>
      </c>
    </row>
    <row r="13" spans="1:10" ht="18" x14ac:dyDescent="0.25">
      <c r="A13" s="1">
        <v>2015</v>
      </c>
      <c r="B13" s="16" t="s">
        <v>6</v>
      </c>
      <c r="C13" s="4">
        <v>1254</v>
      </c>
      <c r="D13" s="9">
        <v>888</v>
      </c>
      <c r="E13" s="9">
        <v>5</v>
      </c>
      <c r="F13" s="6">
        <v>102</v>
      </c>
      <c r="G13" s="8">
        <v>5800</v>
      </c>
      <c r="H13" s="8">
        <v>27</v>
      </c>
      <c r="I13" s="8">
        <v>5161</v>
      </c>
      <c r="J13" s="8">
        <v>363</v>
      </c>
    </row>
    <row r="14" spans="1:10" ht="18" x14ac:dyDescent="0.25">
      <c r="A14" s="1">
        <v>2015</v>
      </c>
      <c r="B14" s="16" t="s">
        <v>7</v>
      </c>
      <c r="C14" s="4">
        <v>1255</v>
      </c>
      <c r="D14" s="6">
        <v>477</v>
      </c>
      <c r="E14" s="9">
        <v>0</v>
      </c>
      <c r="F14" s="6">
        <v>1121</v>
      </c>
      <c r="G14" s="8">
        <v>2000</v>
      </c>
      <c r="H14" s="8">
        <v>70</v>
      </c>
      <c r="I14" s="8">
        <v>1325</v>
      </c>
      <c r="J14" s="8">
        <v>1802</v>
      </c>
    </row>
    <row r="15" spans="1:10" ht="18" x14ac:dyDescent="0.25">
      <c r="A15" s="1">
        <v>2015</v>
      </c>
      <c r="B15" s="16" t="s">
        <v>8</v>
      </c>
      <c r="C15" s="4">
        <v>1256</v>
      </c>
      <c r="D15" s="6">
        <v>0</v>
      </c>
      <c r="E15" s="6">
        <v>0</v>
      </c>
      <c r="F15" s="6">
        <v>0</v>
      </c>
      <c r="G15" s="5">
        <v>0</v>
      </c>
      <c r="H15" s="5">
        <v>0</v>
      </c>
      <c r="I15" s="5">
        <v>0</v>
      </c>
      <c r="J15" s="5">
        <v>0</v>
      </c>
    </row>
    <row r="16" spans="1:10" ht="18" x14ac:dyDescent="0.25">
      <c r="A16" s="1">
        <v>2015</v>
      </c>
      <c r="B16" s="16" t="s">
        <v>9</v>
      </c>
      <c r="C16" s="4">
        <v>1257</v>
      </c>
      <c r="D16" s="6">
        <v>0</v>
      </c>
      <c r="E16" s="6">
        <v>0</v>
      </c>
      <c r="F16" s="6">
        <v>36</v>
      </c>
      <c r="G16" s="5">
        <v>230</v>
      </c>
      <c r="H16" s="5">
        <v>5</v>
      </c>
      <c r="I16" s="5">
        <v>163</v>
      </c>
      <c r="J16" s="5">
        <v>230</v>
      </c>
    </row>
    <row r="17" spans="1:10" ht="18" x14ac:dyDescent="0.25">
      <c r="A17" s="1">
        <v>2015</v>
      </c>
      <c r="B17" s="17" t="s">
        <v>10</v>
      </c>
      <c r="C17" s="11"/>
      <c r="D17" s="8">
        <f>SUM(D10:D16)</f>
        <v>1587</v>
      </c>
      <c r="E17" s="8">
        <f>SUM(E10:E16)</f>
        <v>41</v>
      </c>
      <c r="F17" s="8">
        <f>SUM(F10:F16)</f>
        <v>1569</v>
      </c>
      <c r="G17" s="8">
        <f>SUM(G10:G16)</f>
        <v>8530</v>
      </c>
      <c r="H17" s="8">
        <f>SUM(H10:H16)</f>
        <v>102</v>
      </c>
      <c r="I17" s="8">
        <f t="shared" ref="I17" si="3">SUM(I10:I16)</f>
        <v>7704</v>
      </c>
      <c r="J17" s="8">
        <f t="shared" ref="J17" si="4">SUM(J10:J16)</f>
        <v>2614</v>
      </c>
    </row>
    <row r="18" spans="1:10" ht="18" x14ac:dyDescent="0.25">
      <c r="A18" s="1">
        <v>2016</v>
      </c>
      <c r="B18" s="16" t="s">
        <v>3</v>
      </c>
      <c r="C18" s="4">
        <v>1251</v>
      </c>
      <c r="D18" s="6">
        <v>0</v>
      </c>
      <c r="E18" s="6">
        <v>0</v>
      </c>
      <c r="F18" s="6">
        <v>0</v>
      </c>
      <c r="G18" s="5">
        <v>0</v>
      </c>
      <c r="H18" s="5">
        <v>0</v>
      </c>
      <c r="I18" s="5">
        <v>0</v>
      </c>
      <c r="J18" s="5">
        <v>0</v>
      </c>
    </row>
    <row r="19" spans="1:10" ht="18" x14ac:dyDescent="0.25">
      <c r="A19" s="1">
        <v>2016</v>
      </c>
      <c r="B19" s="16" t="s">
        <v>4</v>
      </c>
      <c r="C19" s="4">
        <v>1252</v>
      </c>
      <c r="D19" s="6">
        <v>50.5</v>
      </c>
      <c r="E19" s="6">
        <v>0</v>
      </c>
      <c r="F19" s="6">
        <v>143</v>
      </c>
      <c r="G19" s="5">
        <v>0</v>
      </c>
      <c r="H19" s="12">
        <v>0</v>
      </c>
      <c r="I19" s="5">
        <v>51</v>
      </c>
      <c r="J19" s="5">
        <v>58</v>
      </c>
    </row>
    <row r="20" spans="1:10" ht="18" x14ac:dyDescent="0.25">
      <c r="A20" s="1">
        <v>2016</v>
      </c>
      <c r="B20" s="16" t="s">
        <v>5</v>
      </c>
      <c r="C20" s="4">
        <v>1253</v>
      </c>
      <c r="D20" s="6">
        <v>152.5</v>
      </c>
      <c r="E20" s="6">
        <v>60</v>
      </c>
      <c r="F20" s="6">
        <v>76</v>
      </c>
      <c r="G20" s="8">
        <v>600</v>
      </c>
      <c r="H20" s="12">
        <v>54</v>
      </c>
      <c r="I20" s="8">
        <v>1072</v>
      </c>
      <c r="J20" s="8">
        <v>161</v>
      </c>
    </row>
    <row r="21" spans="1:10" ht="18" x14ac:dyDescent="0.25">
      <c r="A21" s="1">
        <v>2016</v>
      </c>
      <c r="B21" s="16" t="s">
        <v>6</v>
      </c>
      <c r="C21" s="4">
        <v>1254</v>
      </c>
      <c r="D21" s="9">
        <v>892</v>
      </c>
      <c r="E21" s="9">
        <v>0</v>
      </c>
      <c r="F21" s="6">
        <v>105</v>
      </c>
      <c r="G21" s="8">
        <v>6000</v>
      </c>
      <c r="H21" s="12">
        <v>24</v>
      </c>
      <c r="I21" s="8">
        <v>5483</v>
      </c>
      <c r="J21" s="8">
        <v>363</v>
      </c>
    </row>
    <row r="22" spans="1:10" ht="18" x14ac:dyDescent="0.25">
      <c r="A22" s="1">
        <v>2016</v>
      </c>
      <c r="B22" s="16" t="s">
        <v>7</v>
      </c>
      <c r="C22" s="4">
        <v>1255</v>
      </c>
      <c r="D22" s="6">
        <v>1388</v>
      </c>
      <c r="E22" s="9">
        <v>0</v>
      </c>
      <c r="F22" s="6">
        <v>1076</v>
      </c>
      <c r="G22" s="8">
        <v>1750</v>
      </c>
      <c r="H22" s="12">
        <v>25</v>
      </c>
      <c r="I22" s="8">
        <v>1366</v>
      </c>
      <c r="J22" s="8">
        <v>1804</v>
      </c>
    </row>
    <row r="23" spans="1:10" ht="18" x14ac:dyDescent="0.25">
      <c r="A23" s="1">
        <v>2016</v>
      </c>
      <c r="B23" s="16" t="s">
        <v>8</v>
      </c>
      <c r="C23" s="4">
        <v>1256</v>
      </c>
      <c r="D23" s="6">
        <v>0</v>
      </c>
      <c r="E23" s="6">
        <v>0</v>
      </c>
      <c r="F23" s="6">
        <v>0</v>
      </c>
      <c r="G23" s="5">
        <v>0</v>
      </c>
      <c r="H23" s="5">
        <v>0</v>
      </c>
      <c r="I23" s="5">
        <v>0</v>
      </c>
      <c r="J23" s="5">
        <v>0</v>
      </c>
    </row>
    <row r="24" spans="1:10" ht="18" x14ac:dyDescent="0.25">
      <c r="A24" s="1">
        <v>2016</v>
      </c>
      <c r="B24" s="16" t="s">
        <v>9</v>
      </c>
      <c r="C24" s="4">
        <v>1257</v>
      </c>
      <c r="D24" s="6">
        <v>0</v>
      </c>
      <c r="E24" s="6">
        <v>0</v>
      </c>
      <c r="F24" s="6">
        <v>36</v>
      </c>
      <c r="G24" s="5">
        <v>320</v>
      </c>
      <c r="H24" s="5">
        <v>5</v>
      </c>
      <c r="I24" s="5">
        <v>128</v>
      </c>
      <c r="J24" s="5">
        <v>230</v>
      </c>
    </row>
    <row r="25" spans="1:10" ht="18" x14ac:dyDescent="0.25">
      <c r="A25" s="1">
        <v>2016</v>
      </c>
      <c r="B25" s="17" t="s">
        <v>10</v>
      </c>
      <c r="C25" s="11"/>
      <c r="D25" s="8">
        <f>SUM(D18:D24)</f>
        <v>2483</v>
      </c>
      <c r="E25" s="8">
        <f>SUM(E18:E24)</f>
        <v>60</v>
      </c>
      <c r="F25" s="8">
        <f>SUM(F18:F24)</f>
        <v>1436</v>
      </c>
      <c r="G25" s="8">
        <f>SUM(G18:G24)</f>
        <v>8670</v>
      </c>
      <c r="H25" s="8">
        <f>SUM(H18:H24)</f>
        <v>108</v>
      </c>
      <c r="I25" s="8">
        <f>SUM(I18:I24)</f>
        <v>8100</v>
      </c>
      <c r="J25" s="8">
        <f t="shared" ref="J25" si="5">SUM(J18:J24)</f>
        <v>2616</v>
      </c>
    </row>
    <row r="26" spans="1:10" ht="18" x14ac:dyDescent="0.25">
      <c r="A26" s="1">
        <v>2017</v>
      </c>
      <c r="B26" s="16" t="s">
        <v>3</v>
      </c>
      <c r="C26" s="4">
        <v>1251</v>
      </c>
      <c r="D26" s="6">
        <v>0</v>
      </c>
      <c r="E26" s="6">
        <v>0</v>
      </c>
      <c r="F26" s="6">
        <v>0</v>
      </c>
      <c r="G26" s="5">
        <v>0</v>
      </c>
      <c r="H26" s="5">
        <v>0</v>
      </c>
      <c r="I26" s="5">
        <v>0</v>
      </c>
      <c r="J26" s="5">
        <v>0</v>
      </c>
    </row>
    <row r="27" spans="1:10" ht="18" x14ac:dyDescent="0.25">
      <c r="A27" s="1">
        <v>2017</v>
      </c>
      <c r="B27" s="16" t="s">
        <v>4</v>
      </c>
      <c r="C27" s="4">
        <v>1252</v>
      </c>
      <c r="D27" s="6">
        <v>42</v>
      </c>
      <c r="E27" s="6">
        <v>0</v>
      </c>
      <c r="F27" s="6">
        <v>143</v>
      </c>
      <c r="G27" s="5">
        <v>0</v>
      </c>
      <c r="H27" s="5">
        <v>0</v>
      </c>
      <c r="I27" s="5">
        <v>31</v>
      </c>
      <c r="J27" s="5">
        <v>58</v>
      </c>
    </row>
    <row r="28" spans="1:10" ht="18" x14ac:dyDescent="0.25">
      <c r="A28" s="1">
        <v>2017</v>
      </c>
      <c r="B28" s="16" t="s">
        <v>5</v>
      </c>
      <c r="C28" s="4">
        <v>1253</v>
      </c>
      <c r="D28" s="6">
        <v>213.25</v>
      </c>
      <c r="E28" s="6">
        <v>21</v>
      </c>
      <c r="F28" s="6">
        <v>76</v>
      </c>
      <c r="G28" s="8">
        <v>500</v>
      </c>
      <c r="H28" s="8">
        <v>25</v>
      </c>
      <c r="I28" s="8">
        <v>927</v>
      </c>
      <c r="J28" s="8">
        <v>161</v>
      </c>
    </row>
    <row r="29" spans="1:10" ht="18" x14ac:dyDescent="0.25">
      <c r="A29" s="1">
        <v>2017</v>
      </c>
      <c r="B29" s="16" t="s">
        <v>6</v>
      </c>
      <c r="C29" s="4">
        <v>1254</v>
      </c>
      <c r="D29" s="9">
        <v>736.25</v>
      </c>
      <c r="E29" s="9">
        <v>0</v>
      </c>
      <c r="F29" s="6">
        <v>105</v>
      </c>
      <c r="G29" s="8">
        <v>6200</v>
      </c>
      <c r="H29" s="8">
        <v>118</v>
      </c>
      <c r="I29" s="8">
        <v>4656</v>
      </c>
      <c r="J29" s="8">
        <v>364</v>
      </c>
    </row>
    <row r="30" spans="1:10" ht="18" x14ac:dyDescent="0.25">
      <c r="A30" s="1">
        <v>2017</v>
      </c>
      <c r="B30" s="16" t="s">
        <v>7</v>
      </c>
      <c r="C30" s="4">
        <v>1255</v>
      </c>
      <c r="D30" s="6">
        <v>404</v>
      </c>
      <c r="E30" s="9">
        <v>30</v>
      </c>
      <c r="F30" s="6">
        <v>1085</v>
      </c>
      <c r="G30" s="8">
        <v>1900</v>
      </c>
      <c r="H30" s="8">
        <v>40</v>
      </c>
      <c r="I30" s="8">
        <v>1304</v>
      </c>
      <c r="J30" s="8">
        <v>1811</v>
      </c>
    </row>
    <row r="31" spans="1:10" ht="18" x14ac:dyDescent="0.25">
      <c r="A31" s="1">
        <v>2017</v>
      </c>
      <c r="B31" s="16" t="s">
        <v>8</v>
      </c>
      <c r="C31" s="4">
        <v>1256</v>
      </c>
      <c r="D31" s="6">
        <v>0</v>
      </c>
      <c r="E31" s="6">
        <v>0</v>
      </c>
      <c r="F31" s="6">
        <v>0</v>
      </c>
      <c r="G31" s="5">
        <v>0</v>
      </c>
      <c r="H31" s="5">
        <v>0</v>
      </c>
      <c r="I31" s="5">
        <v>0</v>
      </c>
      <c r="J31" s="5">
        <v>0</v>
      </c>
    </row>
    <row r="32" spans="1:10" ht="18" x14ac:dyDescent="0.25">
      <c r="A32" s="1">
        <v>2017</v>
      </c>
      <c r="B32" s="16" t="s">
        <v>9</v>
      </c>
      <c r="C32" s="4">
        <v>1257</v>
      </c>
      <c r="D32" s="6">
        <v>0</v>
      </c>
      <c r="E32" s="6">
        <v>0</v>
      </c>
      <c r="F32" s="6">
        <v>36</v>
      </c>
      <c r="G32" s="5">
        <v>250</v>
      </c>
      <c r="H32" s="5">
        <v>0</v>
      </c>
      <c r="I32" s="5">
        <v>72</v>
      </c>
      <c r="J32" s="5">
        <v>230</v>
      </c>
    </row>
    <row r="33" spans="1:10" ht="18" x14ac:dyDescent="0.25">
      <c r="A33" s="1">
        <v>2017</v>
      </c>
      <c r="B33" s="17" t="s">
        <v>10</v>
      </c>
      <c r="C33" s="11"/>
      <c r="D33" s="8">
        <f>SUM(D26:D32)</f>
        <v>1395.5</v>
      </c>
      <c r="E33" s="8">
        <f t="shared" ref="E33" si="6">SUM(E26:E32)</f>
        <v>51</v>
      </c>
      <c r="F33" s="8">
        <f>SUM(F26:F32)</f>
        <v>1445</v>
      </c>
      <c r="G33" s="8">
        <f>SUM(G26:G32)</f>
        <v>8850</v>
      </c>
      <c r="H33" s="8">
        <f>SUM(H26:H32)</f>
        <v>183</v>
      </c>
      <c r="I33" s="8">
        <f>SUM(I26:I32)</f>
        <v>6990</v>
      </c>
      <c r="J33" s="8">
        <f t="shared" ref="J33" si="7">SUM(J26:J32)</f>
        <v>2624</v>
      </c>
    </row>
    <row r="34" spans="1:10" ht="18" x14ac:dyDescent="0.25">
      <c r="A34" s="1">
        <v>2018</v>
      </c>
      <c r="B34" s="16" t="s">
        <v>3</v>
      </c>
      <c r="C34" s="4">
        <v>1251</v>
      </c>
      <c r="D34" s="13">
        <v>0</v>
      </c>
      <c r="E34" s="6">
        <v>0</v>
      </c>
      <c r="F34" s="6">
        <v>0</v>
      </c>
      <c r="G34" s="5">
        <v>0</v>
      </c>
      <c r="H34" s="5">
        <v>0</v>
      </c>
      <c r="I34" s="5">
        <v>0</v>
      </c>
      <c r="J34" s="5">
        <v>0</v>
      </c>
    </row>
    <row r="35" spans="1:10" ht="18" x14ac:dyDescent="0.25">
      <c r="A35" s="1">
        <v>2018</v>
      </c>
      <c r="B35" s="16" t="s">
        <v>4</v>
      </c>
      <c r="C35" s="4">
        <v>1252</v>
      </c>
      <c r="D35" s="13">
        <v>29.5</v>
      </c>
      <c r="E35" s="6">
        <v>0</v>
      </c>
      <c r="F35" s="6">
        <v>143</v>
      </c>
      <c r="G35" s="5">
        <v>0</v>
      </c>
      <c r="H35" s="5">
        <v>0</v>
      </c>
      <c r="I35" s="5">
        <v>26</v>
      </c>
      <c r="J35" s="5">
        <v>58</v>
      </c>
    </row>
    <row r="36" spans="1:10" ht="18" x14ac:dyDescent="0.25">
      <c r="A36" s="1">
        <v>2018</v>
      </c>
      <c r="B36" s="16" t="s">
        <v>5</v>
      </c>
      <c r="C36" s="4">
        <v>1253</v>
      </c>
      <c r="D36" s="13">
        <v>76</v>
      </c>
      <c r="E36" s="6">
        <v>28</v>
      </c>
      <c r="F36" s="6">
        <v>76</v>
      </c>
      <c r="G36" s="5">
        <v>560</v>
      </c>
      <c r="H36" s="8">
        <v>0</v>
      </c>
      <c r="I36" s="8">
        <v>755</v>
      </c>
      <c r="J36" s="8">
        <v>161</v>
      </c>
    </row>
    <row r="37" spans="1:10" ht="18" x14ac:dyDescent="0.25">
      <c r="A37" s="1">
        <v>2018</v>
      </c>
      <c r="B37" s="16" t="s">
        <v>6</v>
      </c>
      <c r="C37" s="4">
        <v>1254</v>
      </c>
      <c r="D37" s="14">
        <v>386.5</v>
      </c>
      <c r="E37" s="9">
        <v>45</v>
      </c>
      <c r="F37" s="6">
        <v>114</v>
      </c>
      <c r="G37" s="5">
        <v>5780</v>
      </c>
      <c r="H37" s="8">
        <v>23</v>
      </c>
      <c r="I37" s="8">
        <v>4247</v>
      </c>
      <c r="J37" s="8">
        <v>364</v>
      </c>
    </row>
    <row r="38" spans="1:10" ht="18" x14ac:dyDescent="0.25">
      <c r="A38" s="1">
        <v>2018</v>
      </c>
      <c r="B38" s="16" t="s">
        <v>7</v>
      </c>
      <c r="C38" s="4">
        <v>1255</v>
      </c>
      <c r="D38" s="13">
        <v>449.75</v>
      </c>
      <c r="E38" s="9">
        <v>0</v>
      </c>
      <c r="F38" s="6">
        <v>1070</v>
      </c>
      <c r="G38" s="5">
        <v>2275</v>
      </c>
      <c r="H38" s="8">
        <v>15</v>
      </c>
      <c r="I38" s="8">
        <v>967</v>
      </c>
      <c r="J38" s="8">
        <v>1826</v>
      </c>
    </row>
    <row r="39" spans="1:10" ht="18" x14ac:dyDescent="0.25">
      <c r="A39" s="1">
        <v>2018</v>
      </c>
      <c r="B39" s="16" t="s">
        <v>8</v>
      </c>
      <c r="C39" s="4">
        <v>1256</v>
      </c>
      <c r="D39" s="13">
        <v>0</v>
      </c>
      <c r="E39" s="6">
        <v>0</v>
      </c>
      <c r="F39" s="6">
        <v>0</v>
      </c>
      <c r="G39" s="5">
        <v>0</v>
      </c>
      <c r="H39" s="5">
        <v>0</v>
      </c>
      <c r="I39" s="5">
        <v>0</v>
      </c>
      <c r="J39" s="5">
        <v>0</v>
      </c>
    </row>
    <row r="40" spans="1:10" ht="18" x14ac:dyDescent="0.25">
      <c r="A40" s="1">
        <v>2018</v>
      </c>
      <c r="B40" s="16" t="s">
        <v>9</v>
      </c>
      <c r="C40" s="4">
        <v>1257</v>
      </c>
      <c r="D40" s="13">
        <v>0</v>
      </c>
      <c r="E40" s="6">
        <v>0</v>
      </c>
      <c r="F40" s="6">
        <v>36</v>
      </c>
      <c r="G40" s="5">
        <v>110</v>
      </c>
      <c r="H40" s="5">
        <v>10</v>
      </c>
      <c r="I40" s="5">
        <v>68</v>
      </c>
      <c r="J40" s="5">
        <v>230</v>
      </c>
    </row>
    <row r="41" spans="1:10" ht="18" x14ac:dyDescent="0.25">
      <c r="A41" s="1">
        <v>2018</v>
      </c>
      <c r="B41" s="17" t="s">
        <v>10</v>
      </c>
      <c r="C41" s="11"/>
      <c r="D41" s="8">
        <f>SUM(D34:D40)</f>
        <v>941.75</v>
      </c>
      <c r="E41" s="8">
        <f>SUM(E34:E40)</f>
        <v>73</v>
      </c>
      <c r="F41" s="8">
        <f>SUM(F34:F40)</f>
        <v>1439</v>
      </c>
      <c r="G41" s="8">
        <f>SUM(G34:G40)</f>
        <v>8725</v>
      </c>
      <c r="H41" s="8">
        <f>SUM(H34:H40)</f>
        <v>48</v>
      </c>
      <c r="I41" s="8">
        <f>SUM(I34:I40)</f>
        <v>6063</v>
      </c>
      <c r="J41" s="8">
        <f t="shared" ref="J41" si="8">SUM(J34:J40)</f>
        <v>2639</v>
      </c>
    </row>
    <row r="42" spans="1:10" ht="18" x14ac:dyDescent="0.25">
      <c r="A42" s="1">
        <v>2019</v>
      </c>
      <c r="B42" s="16" t="s">
        <v>3</v>
      </c>
      <c r="C42" s="4">
        <v>1251</v>
      </c>
      <c r="D42" s="13">
        <v>0</v>
      </c>
      <c r="E42" s="6">
        <v>0</v>
      </c>
      <c r="F42" s="6">
        <v>0</v>
      </c>
      <c r="G42" s="5">
        <v>0</v>
      </c>
      <c r="H42" s="5">
        <v>0</v>
      </c>
      <c r="I42" s="5">
        <v>0</v>
      </c>
      <c r="J42" s="5">
        <v>0</v>
      </c>
    </row>
    <row r="43" spans="1:10" ht="18" x14ac:dyDescent="0.25">
      <c r="A43" s="1">
        <v>2019</v>
      </c>
      <c r="B43" s="16" t="s">
        <v>4</v>
      </c>
      <c r="C43" s="4">
        <v>1252</v>
      </c>
      <c r="D43" s="13">
        <v>34</v>
      </c>
      <c r="E43" s="6">
        <v>0</v>
      </c>
      <c r="F43" s="6">
        <v>143.26999999999998</v>
      </c>
      <c r="G43" s="5">
        <v>0</v>
      </c>
      <c r="H43" s="5">
        <v>0</v>
      </c>
      <c r="I43" s="5">
        <v>35</v>
      </c>
      <c r="J43" s="5">
        <v>58</v>
      </c>
    </row>
    <row r="44" spans="1:10" ht="18" x14ac:dyDescent="0.25">
      <c r="A44" s="1">
        <v>2019</v>
      </c>
      <c r="B44" s="16" t="s">
        <v>5</v>
      </c>
      <c r="C44" s="4">
        <v>1253</v>
      </c>
      <c r="D44" s="13">
        <v>75.5</v>
      </c>
      <c r="E44" s="6">
        <v>79</v>
      </c>
      <c r="F44" s="6">
        <v>76.180000000000007</v>
      </c>
      <c r="G44" s="5">
        <v>760</v>
      </c>
      <c r="H44" s="8">
        <v>10</v>
      </c>
      <c r="I44" s="8">
        <v>890</v>
      </c>
      <c r="J44" s="8">
        <v>161</v>
      </c>
    </row>
    <row r="45" spans="1:10" ht="18" x14ac:dyDescent="0.25">
      <c r="A45" s="1">
        <v>2019</v>
      </c>
      <c r="B45" s="16" t="s">
        <v>6</v>
      </c>
      <c r="C45" s="4">
        <v>1254</v>
      </c>
      <c r="D45" s="14">
        <v>593</v>
      </c>
      <c r="E45" s="9">
        <v>113</v>
      </c>
      <c r="F45" s="6">
        <v>131.30000000000001</v>
      </c>
      <c r="G45" s="5">
        <v>5150</v>
      </c>
      <c r="H45" s="8">
        <v>3</v>
      </c>
      <c r="I45" s="8">
        <v>4179</v>
      </c>
      <c r="J45" s="8">
        <v>364</v>
      </c>
    </row>
    <row r="46" spans="1:10" ht="18" x14ac:dyDescent="0.25">
      <c r="A46" s="1">
        <v>2019</v>
      </c>
      <c r="B46" s="16" t="s">
        <v>7</v>
      </c>
      <c r="C46" s="4">
        <v>1255</v>
      </c>
      <c r="D46" s="13">
        <v>410.75</v>
      </c>
      <c r="E46" s="9">
        <v>21</v>
      </c>
      <c r="F46" s="6">
        <v>1087.75</v>
      </c>
      <c r="G46" s="5">
        <v>2300</v>
      </c>
      <c r="H46" s="8">
        <v>66</v>
      </c>
      <c r="I46" s="8">
        <v>908</v>
      </c>
      <c r="J46" s="8">
        <v>1839</v>
      </c>
    </row>
    <row r="47" spans="1:10" ht="18" x14ac:dyDescent="0.25">
      <c r="A47" s="1">
        <v>2019</v>
      </c>
      <c r="B47" s="16" t="s">
        <v>8</v>
      </c>
      <c r="C47" s="4">
        <v>1256</v>
      </c>
      <c r="D47" s="13">
        <v>0</v>
      </c>
      <c r="E47" s="6">
        <v>0</v>
      </c>
      <c r="F47" s="6">
        <v>0</v>
      </c>
      <c r="G47" s="5">
        <v>0</v>
      </c>
      <c r="H47" s="5">
        <v>0</v>
      </c>
      <c r="I47" s="5">
        <v>0</v>
      </c>
      <c r="J47" s="5">
        <v>0</v>
      </c>
    </row>
    <row r="48" spans="1:10" ht="18" x14ac:dyDescent="0.25">
      <c r="A48" s="1">
        <v>2019</v>
      </c>
      <c r="B48" s="16" t="s">
        <v>9</v>
      </c>
      <c r="C48" s="4">
        <v>1257</v>
      </c>
      <c r="D48" s="13">
        <v>0</v>
      </c>
      <c r="E48" s="6">
        <v>0</v>
      </c>
      <c r="F48" s="6">
        <v>32</v>
      </c>
      <c r="G48" s="5">
        <v>60</v>
      </c>
      <c r="H48" s="5">
        <v>1</v>
      </c>
      <c r="I48" s="5">
        <v>52</v>
      </c>
      <c r="J48" s="5">
        <v>230</v>
      </c>
    </row>
    <row r="49" spans="1:10" ht="18" x14ac:dyDescent="0.25">
      <c r="A49" s="1">
        <v>2019</v>
      </c>
      <c r="B49" s="17" t="s">
        <v>10</v>
      </c>
      <c r="C49" s="11"/>
      <c r="D49" s="8">
        <v>1113.25</v>
      </c>
      <c r="E49" s="8">
        <f>SUM(E42:E48)</f>
        <v>213</v>
      </c>
      <c r="F49" s="8">
        <v>1470.5</v>
      </c>
      <c r="G49" s="8">
        <f>SUM(G42:G48)</f>
        <v>8270</v>
      </c>
      <c r="H49" s="8">
        <f>SUM(H42:H48)</f>
        <v>80</v>
      </c>
      <c r="I49" s="8">
        <f t="shared" ref="I49" si="9">SUM(I42:I48)</f>
        <v>6064</v>
      </c>
      <c r="J49" s="8">
        <f>SUM(J42:J48)</f>
        <v>2652</v>
      </c>
    </row>
    <row r="50" spans="1:10" ht="18" x14ac:dyDescent="0.25">
      <c r="A50" s="1">
        <v>2020</v>
      </c>
      <c r="B50" s="16" t="s">
        <v>3</v>
      </c>
      <c r="C50" s="4">
        <v>1251</v>
      </c>
      <c r="D50" s="13">
        <v>0</v>
      </c>
      <c r="E50" s="6">
        <v>0</v>
      </c>
      <c r="F50" s="6">
        <v>0</v>
      </c>
      <c r="G50" s="5">
        <v>0</v>
      </c>
      <c r="H50" s="5">
        <v>0</v>
      </c>
      <c r="I50" s="5">
        <v>0</v>
      </c>
      <c r="J50" s="5">
        <v>0</v>
      </c>
    </row>
    <row r="51" spans="1:10" ht="18" x14ac:dyDescent="0.25">
      <c r="A51" s="1">
        <v>2020</v>
      </c>
      <c r="B51" s="16" t="s">
        <v>4</v>
      </c>
      <c r="C51" s="4">
        <v>1252</v>
      </c>
      <c r="D51" s="13">
        <v>34</v>
      </c>
      <c r="E51" s="6">
        <v>0</v>
      </c>
      <c r="F51" s="6">
        <v>143</v>
      </c>
      <c r="G51" s="5">
        <v>0</v>
      </c>
      <c r="H51" s="5">
        <v>0</v>
      </c>
      <c r="I51" s="5">
        <v>30</v>
      </c>
      <c r="J51" s="5">
        <v>58</v>
      </c>
    </row>
    <row r="52" spans="1:10" ht="18" x14ac:dyDescent="0.25">
      <c r="A52" s="1">
        <v>2020</v>
      </c>
      <c r="B52" s="16" t="s">
        <v>5</v>
      </c>
      <c r="C52" s="4">
        <v>1253</v>
      </c>
      <c r="D52" s="13">
        <v>102.5</v>
      </c>
      <c r="E52" s="6">
        <v>155</v>
      </c>
      <c r="F52" s="6">
        <v>76</v>
      </c>
      <c r="G52" s="5">
        <v>640</v>
      </c>
      <c r="H52" s="8">
        <v>0</v>
      </c>
      <c r="I52" s="8">
        <v>801</v>
      </c>
      <c r="J52" s="8">
        <v>161</v>
      </c>
    </row>
    <row r="53" spans="1:10" ht="18" x14ac:dyDescent="0.25">
      <c r="A53" s="1">
        <v>2020</v>
      </c>
      <c r="B53" s="16" t="s">
        <v>6</v>
      </c>
      <c r="C53" s="4">
        <v>1254</v>
      </c>
      <c r="D53" s="14">
        <v>854.5</v>
      </c>
      <c r="E53" s="9">
        <v>42</v>
      </c>
      <c r="F53" s="6">
        <v>131</v>
      </c>
      <c r="G53" s="5">
        <v>4990</v>
      </c>
      <c r="H53" s="8">
        <v>31</v>
      </c>
      <c r="I53" s="8">
        <v>4058</v>
      </c>
      <c r="J53" s="8">
        <v>368</v>
      </c>
    </row>
    <row r="54" spans="1:10" ht="18" x14ac:dyDescent="0.25">
      <c r="A54" s="1">
        <v>2020</v>
      </c>
      <c r="B54" s="16" t="s">
        <v>7</v>
      </c>
      <c r="C54" s="4">
        <v>1255</v>
      </c>
      <c r="D54" s="13">
        <v>433.25</v>
      </c>
      <c r="E54" s="9">
        <v>45</v>
      </c>
      <c r="F54" s="6">
        <v>1094</v>
      </c>
      <c r="G54" s="5">
        <v>1680</v>
      </c>
      <c r="H54" s="8">
        <v>61</v>
      </c>
      <c r="I54" s="8">
        <v>1001</v>
      </c>
      <c r="J54" s="8">
        <v>1848</v>
      </c>
    </row>
    <row r="55" spans="1:10" ht="18" x14ac:dyDescent="0.25">
      <c r="A55" s="1">
        <v>2020</v>
      </c>
      <c r="B55" s="16" t="s">
        <v>8</v>
      </c>
      <c r="C55" s="4">
        <v>1256</v>
      </c>
      <c r="D55" s="13">
        <v>0</v>
      </c>
      <c r="E55" s="6">
        <v>0</v>
      </c>
      <c r="F55" s="6">
        <v>0</v>
      </c>
      <c r="G55" s="5">
        <v>0</v>
      </c>
      <c r="H55" s="5">
        <v>0</v>
      </c>
      <c r="I55" s="5">
        <v>0</v>
      </c>
      <c r="J55" s="5">
        <v>0</v>
      </c>
    </row>
    <row r="56" spans="1:10" ht="18" x14ac:dyDescent="0.25">
      <c r="A56" s="1">
        <v>2020</v>
      </c>
      <c r="B56" s="16" t="s">
        <v>9</v>
      </c>
      <c r="C56" s="4">
        <v>1257</v>
      </c>
      <c r="D56" s="13">
        <v>0</v>
      </c>
      <c r="E56" s="6">
        <v>0</v>
      </c>
      <c r="F56" s="6">
        <v>32</v>
      </c>
      <c r="G56" s="5">
        <v>160</v>
      </c>
      <c r="H56" s="5">
        <v>1</v>
      </c>
      <c r="I56" s="5">
        <v>110</v>
      </c>
      <c r="J56" s="5">
        <v>230</v>
      </c>
    </row>
    <row r="57" spans="1:10" ht="18" x14ac:dyDescent="0.25">
      <c r="A57" s="1">
        <v>2020</v>
      </c>
      <c r="B57" s="17" t="s">
        <v>10</v>
      </c>
      <c r="C57" s="11"/>
      <c r="D57" s="15">
        <v>1424.25</v>
      </c>
      <c r="E57" s="8">
        <f>SUM(E50:E56)</f>
        <v>242</v>
      </c>
      <c r="F57" s="8">
        <v>1476</v>
      </c>
      <c r="G57" s="8">
        <f>SUM(G50:G56)</f>
        <v>7470</v>
      </c>
      <c r="H57" s="8">
        <f>SUM(H50:H56)</f>
        <v>93</v>
      </c>
      <c r="I57" s="8">
        <f t="shared" ref="I57" si="10">SUM(I50:I56)</f>
        <v>6000</v>
      </c>
      <c r="J57" s="8">
        <f>SUM(J50:J56)</f>
        <v>2665</v>
      </c>
    </row>
    <row r="58" spans="1:10" ht="18" x14ac:dyDescent="0.25">
      <c r="A58" s="18">
        <v>2021</v>
      </c>
      <c r="B58" s="16" t="s">
        <v>3</v>
      </c>
      <c r="C58" s="4">
        <v>1251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</row>
    <row r="59" spans="1:10" ht="18" x14ac:dyDescent="0.25">
      <c r="A59" s="18">
        <v>2021</v>
      </c>
      <c r="B59" s="16" t="s">
        <v>4</v>
      </c>
      <c r="C59" s="4">
        <v>1252</v>
      </c>
      <c r="D59" s="4">
        <v>22</v>
      </c>
      <c r="E59" s="4">
        <v>0</v>
      </c>
      <c r="F59" s="4">
        <v>143</v>
      </c>
      <c r="G59" s="4">
        <v>0</v>
      </c>
      <c r="H59" s="4">
        <v>0</v>
      </c>
      <c r="I59" s="4">
        <v>52</v>
      </c>
      <c r="J59" s="4">
        <v>58</v>
      </c>
    </row>
    <row r="60" spans="1:10" ht="18" x14ac:dyDescent="0.25">
      <c r="A60" s="18">
        <v>2021</v>
      </c>
      <c r="B60" s="16" t="s">
        <v>5</v>
      </c>
      <c r="C60" s="4">
        <v>1253</v>
      </c>
      <c r="D60" s="4">
        <v>65</v>
      </c>
      <c r="E60" s="4">
        <v>7</v>
      </c>
      <c r="F60" s="4">
        <v>76</v>
      </c>
      <c r="G60" s="4">
        <v>800</v>
      </c>
      <c r="H60" s="4">
        <v>2</v>
      </c>
      <c r="I60" s="4">
        <v>1090</v>
      </c>
      <c r="J60" s="4">
        <v>161</v>
      </c>
    </row>
    <row r="61" spans="1:10" ht="18" x14ac:dyDescent="0.25">
      <c r="A61" s="18">
        <v>2021</v>
      </c>
      <c r="B61" s="16" t="s">
        <v>6</v>
      </c>
      <c r="C61" s="4">
        <v>1254</v>
      </c>
      <c r="D61" s="4">
        <v>552</v>
      </c>
      <c r="E61" s="4">
        <v>64</v>
      </c>
      <c r="F61" s="4">
        <v>131</v>
      </c>
      <c r="G61" s="4">
        <v>4850</v>
      </c>
      <c r="H61" s="4">
        <v>19</v>
      </c>
      <c r="I61" s="4">
        <v>4602</v>
      </c>
      <c r="J61" s="4">
        <v>368</v>
      </c>
    </row>
    <row r="62" spans="1:10" ht="18" x14ac:dyDescent="0.25">
      <c r="A62" s="18">
        <v>2021</v>
      </c>
      <c r="B62" s="16" t="s">
        <v>7</v>
      </c>
      <c r="C62" s="4">
        <v>1255</v>
      </c>
      <c r="D62" s="4">
        <v>353</v>
      </c>
      <c r="E62" s="4">
        <v>85</v>
      </c>
      <c r="F62" s="4">
        <v>1111</v>
      </c>
      <c r="G62" s="4">
        <v>1890</v>
      </c>
      <c r="H62" s="4">
        <v>71</v>
      </c>
      <c r="I62" s="4">
        <v>1005</v>
      </c>
      <c r="J62" s="4">
        <v>1848</v>
      </c>
    </row>
    <row r="63" spans="1:10" ht="18" x14ac:dyDescent="0.25">
      <c r="A63" s="18">
        <v>2021</v>
      </c>
      <c r="B63" s="16" t="s">
        <v>8</v>
      </c>
      <c r="C63" s="4">
        <v>1256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</row>
    <row r="64" spans="1:10" ht="18" x14ac:dyDescent="0.25">
      <c r="A64" s="18">
        <v>2021</v>
      </c>
      <c r="B64" s="16" t="s">
        <v>9</v>
      </c>
      <c r="C64" s="4">
        <v>1257</v>
      </c>
      <c r="D64" s="4">
        <v>0</v>
      </c>
      <c r="E64" s="4">
        <v>0</v>
      </c>
      <c r="F64" s="4">
        <v>32</v>
      </c>
      <c r="G64" s="4">
        <v>160</v>
      </c>
      <c r="H64" s="4">
        <v>0</v>
      </c>
      <c r="I64" s="4">
        <v>145</v>
      </c>
      <c r="J64" s="4">
        <v>230</v>
      </c>
    </row>
    <row r="65" spans="1:10" ht="18" x14ac:dyDescent="0.25">
      <c r="A65" s="18">
        <v>2021</v>
      </c>
      <c r="B65" s="17" t="s">
        <v>10</v>
      </c>
      <c r="D65" s="4">
        <v>992</v>
      </c>
      <c r="E65" s="4">
        <v>156</v>
      </c>
      <c r="F65" s="4">
        <v>1493</v>
      </c>
      <c r="G65" s="4">
        <v>7700</v>
      </c>
      <c r="H65" s="4">
        <v>92</v>
      </c>
      <c r="I65" s="4">
        <v>6894</v>
      </c>
      <c r="J65" s="4">
        <v>2665</v>
      </c>
    </row>
    <row r="66" spans="1:10" ht="18" x14ac:dyDescent="0.25">
      <c r="A66" s="18">
        <v>2022</v>
      </c>
      <c r="B66" s="16" t="s">
        <v>3</v>
      </c>
      <c r="C66" s="4">
        <v>1251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</row>
    <row r="67" spans="1:10" ht="18" x14ac:dyDescent="0.25">
      <c r="A67" s="18">
        <v>2022</v>
      </c>
      <c r="B67" s="16" t="s">
        <v>4</v>
      </c>
      <c r="C67" s="4">
        <v>1252</v>
      </c>
      <c r="D67" s="4">
        <v>28</v>
      </c>
      <c r="E67" s="4">
        <v>0</v>
      </c>
      <c r="F67" s="4">
        <v>143</v>
      </c>
      <c r="G67" s="4">
        <v>0</v>
      </c>
      <c r="H67" s="4">
        <v>0</v>
      </c>
      <c r="I67" s="4">
        <v>53</v>
      </c>
      <c r="J67" s="4">
        <v>58</v>
      </c>
    </row>
    <row r="68" spans="1:10" ht="18" x14ac:dyDescent="0.25">
      <c r="A68" s="18">
        <v>2022</v>
      </c>
      <c r="B68" s="16" t="s">
        <v>5</v>
      </c>
      <c r="C68" s="4">
        <v>1253</v>
      </c>
      <c r="D68" s="4">
        <v>63</v>
      </c>
      <c r="E68" s="4">
        <v>0</v>
      </c>
      <c r="F68" s="4">
        <v>76</v>
      </c>
      <c r="G68" s="4">
        <v>745</v>
      </c>
      <c r="H68" s="4">
        <v>0</v>
      </c>
      <c r="I68" s="4">
        <v>945</v>
      </c>
      <c r="J68" s="4">
        <v>158</v>
      </c>
    </row>
    <row r="69" spans="1:10" ht="18" x14ac:dyDescent="0.25">
      <c r="A69" s="18">
        <v>2022</v>
      </c>
      <c r="B69" s="16" t="s">
        <v>6</v>
      </c>
      <c r="C69" s="4">
        <v>1254</v>
      </c>
      <c r="D69" s="4">
        <v>541.25</v>
      </c>
      <c r="E69" s="4">
        <v>0</v>
      </c>
      <c r="F69" s="4">
        <v>133</v>
      </c>
      <c r="G69" s="4">
        <v>5030</v>
      </c>
      <c r="H69" s="4">
        <v>10</v>
      </c>
      <c r="I69" s="4">
        <v>4540</v>
      </c>
      <c r="J69" s="4">
        <v>369</v>
      </c>
    </row>
    <row r="70" spans="1:10" ht="18" x14ac:dyDescent="0.25">
      <c r="A70" s="18">
        <v>2022</v>
      </c>
      <c r="B70" s="16" t="s">
        <v>7</v>
      </c>
      <c r="C70" s="4">
        <v>1255</v>
      </c>
      <c r="D70" s="4">
        <v>285.5</v>
      </c>
      <c r="E70" s="4">
        <v>81</v>
      </c>
      <c r="F70" s="4">
        <v>1111</v>
      </c>
      <c r="G70" s="4">
        <v>1815</v>
      </c>
      <c r="H70" s="4">
        <v>54</v>
      </c>
      <c r="I70" s="4">
        <v>987</v>
      </c>
      <c r="J70" s="4">
        <v>1917</v>
      </c>
    </row>
    <row r="71" spans="1:10" ht="18" x14ac:dyDescent="0.25">
      <c r="A71" s="18">
        <v>2022</v>
      </c>
      <c r="B71" s="16" t="s">
        <v>8</v>
      </c>
      <c r="C71" s="4">
        <v>1256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</row>
    <row r="72" spans="1:10" ht="18" x14ac:dyDescent="0.25">
      <c r="A72" s="18">
        <v>2022</v>
      </c>
      <c r="B72" s="16" t="s">
        <v>9</v>
      </c>
      <c r="C72" s="4">
        <v>1257</v>
      </c>
      <c r="D72" s="4">
        <v>0</v>
      </c>
      <c r="E72" s="4">
        <v>0</v>
      </c>
      <c r="F72" s="4">
        <v>32</v>
      </c>
      <c r="G72" s="4">
        <v>160</v>
      </c>
      <c r="H72" s="4">
        <v>0</v>
      </c>
      <c r="I72" s="4">
        <v>140</v>
      </c>
      <c r="J72" s="4">
        <v>230</v>
      </c>
    </row>
    <row r="73" spans="1:10" ht="18" x14ac:dyDescent="0.25">
      <c r="A73" s="18">
        <v>2022</v>
      </c>
      <c r="B73" s="17" t="s">
        <v>10</v>
      </c>
      <c r="D73" s="4">
        <v>918</v>
      </c>
      <c r="E73" s="4">
        <v>81</v>
      </c>
      <c r="F73" s="4">
        <v>1495</v>
      </c>
      <c r="G73" s="4">
        <v>7750</v>
      </c>
      <c r="H73" s="4">
        <v>64</v>
      </c>
      <c r="I73" s="4">
        <v>6665</v>
      </c>
      <c r="J73" s="4">
        <v>2732</v>
      </c>
    </row>
    <row r="74" spans="1:10" ht="18" x14ac:dyDescent="0.25">
      <c r="A74" s="18">
        <v>2023</v>
      </c>
      <c r="B74" s="16" t="s">
        <v>3</v>
      </c>
      <c r="C74" s="4">
        <v>1251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</row>
    <row r="75" spans="1:10" ht="18" x14ac:dyDescent="0.25">
      <c r="A75" s="18">
        <v>2023</v>
      </c>
      <c r="B75" s="16" t="s">
        <v>4</v>
      </c>
      <c r="C75" s="4">
        <v>1252</v>
      </c>
      <c r="D75" s="4">
        <f>[1]خضروات!$D$43</f>
        <v>12</v>
      </c>
      <c r="E75" s="4">
        <v>0</v>
      </c>
      <c r="F75" s="4">
        <v>143</v>
      </c>
      <c r="G75" s="4">
        <v>0</v>
      </c>
      <c r="H75" s="4">
        <v>0</v>
      </c>
      <c r="I75" s="4">
        <v>65</v>
      </c>
      <c r="J75" s="4">
        <v>58</v>
      </c>
    </row>
    <row r="76" spans="1:10" ht="18" x14ac:dyDescent="0.25">
      <c r="A76" s="18">
        <v>2023</v>
      </c>
      <c r="B76" s="16" t="s">
        <v>5</v>
      </c>
      <c r="C76" s="4">
        <v>1253</v>
      </c>
      <c r="D76" s="4">
        <f>[1]خضروات!$G$43</f>
        <v>87</v>
      </c>
      <c r="E76" s="4">
        <v>0</v>
      </c>
      <c r="F76" s="4">
        <v>76</v>
      </c>
      <c r="G76" s="4">
        <v>730</v>
      </c>
      <c r="H76" s="4">
        <v>0</v>
      </c>
      <c r="I76" s="4">
        <v>907</v>
      </c>
      <c r="J76" s="4">
        <v>158</v>
      </c>
    </row>
    <row r="77" spans="1:10" ht="18" x14ac:dyDescent="0.25">
      <c r="A77" s="18">
        <v>2023</v>
      </c>
      <c r="B77" s="16" t="s">
        <v>6</v>
      </c>
      <c r="C77" s="4">
        <v>1254</v>
      </c>
      <c r="D77" s="4">
        <f>[1]خضروات!$J$43</f>
        <v>125</v>
      </c>
      <c r="E77" s="4">
        <v>0</v>
      </c>
      <c r="F77" s="4">
        <f>'[1]توزيع مساحات الأشجار المثمرة '!$P$25</f>
        <v>133.85</v>
      </c>
      <c r="G77" s="4">
        <v>5175</v>
      </c>
      <c r="H77" s="4">
        <v>7</v>
      </c>
      <c r="I77" s="4">
        <v>4669</v>
      </c>
      <c r="J77" s="4">
        <v>369</v>
      </c>
    </row>
    <row r="78" spans="1:10" ht="18" x14ac:dyDescent="0.25">
      <c r="A78" s="18">
        <v>2023</v>
      </c>
      <c r="B78" s="16" t="s">
        <v>7</v>
      </c>
      <c r="C78" s="4">
        <v>1255</v>
      </c>
      <c r="D78" s="4">
        <v>225</v>
      </c>
      <c r="E78" s="4">
        <v>31</v>
      </c>
      <c r="F78" s="4">
        <v>1077</v>
      </c>
      <c r="G78" s="4">
        <v>1915</v>
      </c>
      <c r="H78" s="4">
        <v>13</v>
      </c>
      <c r="I78" s="4">
        <v>969</v>
      </c>
      <c r="J78" s="4">
        <f>'[1]توزيع مساحات الأشجار المثمرة '!$Z$5+'[1]توزيع مساحات الأشجار المثمرة '!$Z$6</f>
        <v>1921</v>
      </c>
    </row>
    <row r="79" spans="1:10" ht="18" x14ac:dyDescent="0.25">
      <c r="A79" s="18">
        <v>2023</v>
      </c>
      <c r="B79" s="16" t="s">
        <v>8</v>
      </c>
      <c r="C79" s="4">
        <v>1256</v>
      </c>
      <c r="D79" s="4">
        <f>0</f>
        <v>0</v>
      </c>
      <c r="E79" s="4">
        <v>0</v>
      </c>
      <c r="F79" s="4">
        <v>0</v>
      </c>
      <c r="G79" s="4">
        <v>80</v>
      </c>
      <c r="H79" s="4">
        <v>0</v>
      </c>
      <c r="I79" s="4">
        <v>0</v>
      </c>
      <c r="J79" s="4">
        <v>0</v>
      </c>
    </row>
    <row r="80" spans="1:10" ht="18" x14ac:dyDescent="0.25">
      <c r="A80" s="18">
        <v>2023</v>
      </c>
      <c r="B80" s="16" t="s">
        <v>9</v>
      </c>
      <c r="C80" s="4">
        <v>1257</v>
      </c>
      <c r="D80" s="4">
        <v>0</v>
      </c>
      <c r="E80" s="4">
        <v>0</v>
      </c>
      <c r="F80" s="4">
        <f>'[1]توزيع مساحات الأشجار المثمرة '!$U$25</f>
        <v>32</v>
      </c>
      <c r="G80" s="4">
        <v>0</v>
      </c>
      <c r="H80" s="4">
        <v>0</v>
      </c>
      <c r="I80" s="4">
        <v>150</v>
      </c>
      <c r="J80" s="4">
        <v>230</v>
      </c>
    </row>
    <row r="81" spans="1:10" ht="18" x14ac:dyDescent="0.25">
      <c r="A81" s="18">
        <v>2023</v>
      </c>
      <c r="B81" s="17" t="s">
        <v>10</v>
      </c>
      <c r="D81" s="4">
        <v>449</v>
      </c>
      <c r="E81" s="4">
        <v>31</v>
      </c>
      <c r="F81" s="4">
        <v>1462</v>
      </c>
      <c r="G81" s="4">
        <v>7900</v>
      </c>
      <c r="H81" s="4">
        <v>20</v>
      </c>
      <c r="I81" s="4">
        <v>6760</v>
      </c>
      <c r="J81" s="4">
        <v>2736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2025-03-06T11:18:29Z</dcterms:modified>
</cp:coreProperties>
</file>