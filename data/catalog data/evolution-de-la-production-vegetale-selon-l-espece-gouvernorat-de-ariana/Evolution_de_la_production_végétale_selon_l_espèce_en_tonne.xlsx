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8" i="1" l="1"/>
  <c r="D77" i="1"/>
  <c r="D76" i="1"/>
  <c r="D75" i="1"/>
</calcChain>
</file>

<file path=xl/sharedStrings.xml><?xml version="1.0" encoding="utf-8"?>
<sst xmlns="http://schemas.openxmlformats.org/spreadsheetml/2006/main" count="90" uniqueCount="18">
  <si>
    <t>Annee</t>
  </si>
  <si>
    <t>Delegation</t>
  </si>
  <si>
    <t>Code_Geographique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</si>
  <si>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</si>
  <si>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</si>
  <si>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</si>
  <si>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</si>
  <si>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</si>
  <si>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</si>
  <si>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</si>
  <si>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 xml:space="preserve">المجموع   </t>
  </si>
  <si>
    <t>Olives_t</t>
  </si>
  <si>
    <t>Fourrages_t</t>
  </si>
  <si>
    <t>Legumineuses_t</t>
  </si>
  <si>
    <t>Cerealiculture_t</t>
  </si>
  <si>
    <t>Cultures_maraicheres_t</t>
  </si>
  <si>
    <t>Cultures_industrielles_t</t>
  </si>
  <si>
    <t>Arboriculture_t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</si>
</sst>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Arial"/>
      <family val="2"/>
    </font>
    <font>
      <b/>
      <sz val="11"/>
      <color rgb="FF333333"/>
      <name val="Arial"/>
      <family val="2"/>
    </font>
    <font>
      <sz val="10"/>
      <name val="Arial"/>
      <family val="2"/>
    </font>
    <font>
      <sz val="14"/>
      <name val="Arial"/>
      <family val="2"/>
      <charset val="178"/>
    </font>
    <font>
      <sz val="14"/>
      <color indexed="8"/>
      <name val="Arial"/>
      <family val="2"/>
    </font>
    <font>
      <b/>
      <sz val="14"/>
      <name val="Arial"/>
      <family val="2"/>
      <charset val="178"/>
    </font>
    <font>
      <b/>
      <sz val="14"/>
      <name val="Arial"/>
      <family val="2"/>
    </font>
    <font>
      <b/>
      <sz val="1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5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3" fillId="0" borderId="1" xfId="0" applyFont="1" applyBorder="1"/>
    <xf numFmtId="0" fontId="2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3" fontId="2" fillId="0" borderId="2" xfId="0" applyNumberFormat="1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/>
    </xf>
    <xf numFmtId="1" fontId="2" fillId="0" borderId="2" xfId="1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0" fontId="0" fillId="0" borderId="0" xfId="0" applyFont="1" applyBorder="1"/>
    <xf numFmtId="3" fontId="2" fillId="0" borderId="5" xfId="0" applyNumberFormat="1" applyFont="1" applyFill="1" applyBorder="1" applyAlignment="1">
      <alignment horizontal="center" vertical="center"/>
    </xf>
    <xf numFmtId="0" fontId="3" fillId="0" borderId="6" xfId="0" applyFont="1" applyBorder="1"/>
    <xf numFmtId="0" fontId="5" fillId="0" borderId="7" xfId="0" applyFont="1" applyFill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center" vertical="center"/>
    </xf>
    <xf numFmtId="3" fontId="5" fillId="0" borderId="7" xfId="0" applyNumberFormat="1" applyFont="1" applyFill="1" applyBorder="1" applyAlignment="1">
      <alignment horizontal="center" vertical="center"/>
    </xf>
    <xf numFmtId="1" fontId="5" fillId="0" borderId="7" xfId="0" applyNumberFormat="1" applyFont="1" applyFill="1" applyBorder="1" applyAlignment="1">
      <alignment horizontal="center" vertical="center"/>
    </xf>
    <xf numFmtId="0" fontId="0" fillId="0" borderId="8" xfId="0" applyFill="1" applyBorder="1"/>
    <xf numFmtId="0" fontId="7" fillId="0" borderId="2" xfId="0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/>
    </xf>
    <xf numFmtId="3" fontId="7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 vertical="center"/>
    </xf>
    <xf numFmtId="166" fontId="7" fillId="0" borderId="2" xfId="0" applyNumberFormat="1" applyFont="1" applyFill="1" applyBorder="1" applyAlignment="1">
      <alignment horizontal="center" vertical="center"/>
    </xf>
    <xf numFmtId="164" fontId="7" fillId="0" borderId="2" xfId="0" applyNumberFormat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3" fontId="9" fillId="0" borderId="2" xfId="0" applyNumberFormat="1" applyFont="1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165" fontId="9" fillId="0" borderId="2" xfId="0" applyNumberFormat="1" applyFont="1" applyFill="1" applyBorder="1" applyAlignment="1">
      <alignment horizontal="center" vertical="center"/>
    </xf>
    <xf numFmtId="3" fontId="8" fillId="0" borderId="2" xfId="0" applyNumberFormat="1" applyFont="1" applyFill="1" applyBorder="1" applyAlignment="1">
      <alignment horizontal="center" vertical="center"/>
    </xf>
    <xf numFmtId="2" fontId="8" fillId="0" borderId="2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1" fontId="8" fillId="0" borderId="7" xfId="1" applyNumberFormat="1" applyFont="1" applyFill="1" applyBorder="1" applyAlignment="1">
      <alignment horizontal="center" vertical="center"/>
    </xf>
    <xf numFmtId="1" fontId="8" fillId="0" borderId="7" xfId="0" applyNumberFormat="1" applyFont="1" applyFill="1" applyBorder="1" applyAlignment="1">
      <alignment horizontal="center" vertical="center"/>
    </xf>
    <xf numFmtId="1" fontId="8" fillId="0" borderId="9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7" xfId="1" applyFont="1" applyFill="1" applyBorder="1" applyAlignment="1">
      <alignment horizontal="center" vertical="center"/>
    </xf>
    <xf numFmtId="1" fontId="8" fillId="0" borderId="2" xfId="1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1" fontId="8" fillId="0" borderId="5" xfId="1" applyNumberFormat="1" applyFont="1" applyFill="1" applyBorder="1" applyAlignment="1">
      <alignment horizontal="center" vertical="center"/>
    </xf>
    <xf numFmtId="1" fontId="8" fillId="0" borderId="5" xfId="0" applyNumberFormat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/>
    </xf>
  </cellXfs>
  <cellStyles count="2">
    <cellStyle name="Normal" xfId="0" builtinId="0"/>
    <cellStyle name="Normal 2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cem/AppData/Local/Temp/Rar$DIa7588.6058/&#1608;&#1604;&#1575;&#1610;&#1577;%20&#1571;&#1585;&#1610;&#1575;&#1606;&#1577;%20&#1601;&#1610;%20&#1571;&#1585;&#1602;&#1575;&#1605;%20%20%20&#1607;&#1606;&#1575;&#1569;&#1569;2022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تطور انتاج الأشجار المثمرة"/>
      <sheetName val="قطاع الاعلاف"/>
      <sheetName val="حبوب-بقول-ز صناعية"/>
      <sheetName val="خضروات"/>
      <sheetName val="اشجار مثمرة"/>
      <sheetName val="توزيع مساحات الأشجار المثمرة "/>
      <sheetName val="توزيع المساحات السقوية"/>
      <sheetName val="Feuil2"/>
      <sheetName val="مؤشرات المساحات السقوية"/>
      <sheetName val="تطور المساحات و الانتاج ع و خ"/>
      <sheetName val="Feuil1"/>
      <sheetName val="Feuil3"/>
    </sheetNames>
    <sheetDataSet>
      <sheetData sheetId="0" refreshError="1"/>
      <sheetData sheetId="1" refreshError="1"/>
      <sheetData sheetId="2" refreshError="1"/>
      <sheetData sheetId="3" refreshError="1">
        <row r="43">
          <cell r="D43">
            <v>12</v>
          </cell>
        </row>
        <row r="86">
          <cell r="D86">
            <v>141.69999999999999</v>
          </cell>
          <cell r="G86">
            <v>1361.8</v>
          </cell>
          <cell r="J86">
            <v>1527.5</v>
          </cell>
          <cell r="P86">
            <v>3341.75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>
      <selection activeCell="J79" sqref="J79"/>
    </sheetView>
  </sheetViews>
  <sheetFormatPr baseColWidth="10" defaultColWidth="9.140625" defaultRowHeight="15" x14ac:dyDescent="0.25"/>
  <cols>
    <col min="2" max="2" width="16.7109375" customWidth="1"/>
    <col min="3" max="3" width="13.140625" customWidth="1"/>
    <col min="4" max="4" width="12.28515625" customWidth="1"/>
    <col min="5" max="5" width="12.42578125" customWidth="1"/>
    <col min="6" max="6" width="12.5703125" customWidth="1"/>
    <col min="7" max="7" width="12.42578125" customWidth="1"/>
    <col min="9" max="9" width="13.7109375" customWidth="1"/>
    <col min="10" max="10" width="15" customWidth="1"/>
  </cols>
  <sheetData>
    <row r="1" spans="1:10" ht="15.75" thickBot="1" x14ac:dyDescent="0.3">
      <c r="A1" s="1" t="s">
        <v>0</v>
      </c>
      <c r="B1" s="1" t="s">
        <v>1</v>
      </c>
      <c r="C1" s="1" t="s">
        <v>2</v>
      </c>
      <c r="D1" s="7" t="s">
        <v>15</v>
      </c>
      <c r="E1" s="24" t="s">
        <v>16</v>
      </c>
      <c r="F1" s="7" t="s">
        <v>17</v>
      </c>
      <c r="G1" s="1" t="s">
        <v>14</v>
      </c>
      <c r="H1" s="1" t="s">
        <v>13</v>
      </c>
      <c r="I1" s="1" t="s">
        <v>12</v>
      </c>
      <c r="J1" s="1" t="s">
        <v>11</v>
      </c>
    </row>
    <row r="2" spans="1:10" ht="18.75" thickBot="1" x14ac:dyDescent="0.3">
      <c r="A2" s="2">
        <v>2014</v>
      </c>
      <c r="B2" s="3" t="s">
        <v>3</v>
      </c>
      <c r="C2" s="4">
        <v>1251</v>
      </c>
      <c r="D2" s="9">
        <v>0</v>
      </c>
      <c r="E2" s="25">
        <v>0</v>
      </c>
      <c r="F2" s="6">
        <v>0</v>
      </c>
      <c r="G2" s="8">
        <v>0</v>
      </c>
      <c r="H2" s="8">
        <v>0</v>
      </c>
      <c r="I2" s="8">
        <v>0</v>
      </c>
      <c r="J2" s="8">
        <v>0</v>
      </c>
    </row>
    <row r="3" spans="1:10" ht="18.75" thickBot="1" x14ac:dyDescent="0.3">
      <c r="A3" s="2">
        <v>2014</v>
      </c>
      <c r="B3" s="3" t="s">
        <v>4</v>
      </c>
      <c r="C3" s="4">
        <v>1252</v>
      </c>
      <c r="D3" s="9">
        <v>822</v>
      </c>
      <c r="E3" s="26">
        <v>8</v>
      </c>
      <c r="F3" s="6">
        <v>328</v>
      </c>
      <c r="G3" s="8">
        <v>0</v>
      </c>
      <c r="H3" s="8">
        <v>0</v>
      </c>
      <c r="I3" s="8">
        <v>1453</v>
      </c>
      <c r="J3" s="10">
        <v>49</v>
      </c>
    </row>
    <row r="4" spans="1:10" ht="18.75" thickBot="1" x14ac:dyDescent="0.3">
      <c r="A4" s="2">
        <v>2014</v>
      </c>
      <c r="B4" s="3" t="s">
        <v>5</v>
      </c>
      <c r="C4" s="4">
        <v>1253</v>
      </c>
      <c r="D4" s="9">
        <v>2610</v>
      </c>
      <c r="E4" s="25">
        <v>55</v>
      </c>
      <c r="F4" s="6">
        <v>1098</v>
      </c>
      <c r="G4" s="8">
        <v>1150</v>
      </c>
      <c r="H4" s="8">
        <v>17</v>
      </c>
      <c r="I4" s="8">
        <v>15069</v>
      </c>
      <c r="J4" s="11">
        <v>174</v>
      </c>
    </row>
    <row r="5" spans="1:10" ht="18.75" thickBot="1" x14ac:dyDescent="0.3">
      <c r="A5" s="2">
        <v>2014</v>
      </c>
      <c r="B5" s="3" t="s">
        <v>6</v>
      </c>
      <c r="C5" s="4">
        <v>1254</v>
      </c>
      <c r="D5" s="9">
        <v>29263</v>
      </c>
      <c r="E5" s="25">
        <v>108</v>
      </c>
      <c r="F5" s="6">
        <v>803</v>
      </c>
      <c r="G5" s="8">
        <v>14734</v>
      </c>
      <c r="H5" s="8">
        <v>112</v>
      </c>
      <c r="I5" s="8">
        <v>98039</v>
      </c>
      <c r="J5" s="11">
        <v>164</v>
      </c>
    </row>
    <row r="6" spans="1:10" ht="18.75" thickBot="1" x14ac:dyDescent="0.3">
      <c r="A6" s="2">
        <v>2014</v>
      </c>
      <c r="B6" s="3" t="s">
        <v>7</v>
      </c>
      <c r="C6" s="4">
        <v>1255</v>
      </c>
      <c r="D6" s="9">
        <v>7003</v>
      </c>
      <c r="E6" s="25">
        <v>0</v>
      </c>
      <c r="F6" s="6">
        <v>16162</v>
      </c>
      <c r="G6" s="8">
        <v>4700</v>
      </c>
      <c r="H6" s="8">
        <v>26</v>
      </c>
      <c r="I6" s="8">
        <v>27203</v>
      </c>
      <c r="J6" s="11">
        <v>1814</v>
      </c>
    </row>
    <row r="7" spans="1:10" ht="18.75" thickBot="1" x14ac:dyDescent="0.3">
      <c r="A7" s="2">
        <v>2014</v>
      </c>
      <c r="B7" s="3" t="s">
        <v>8</v>
      </c>
      <c r="C7" s="4">
        <v>1256</v>
      </c>
      <c r="D7" s="9">
        <v>0</v>
      </c>
      <c r="E7" s="25">
        <v>0</v>
      </c>
      <c r="F7" s="6">
        <v>0</v>
      </c>
      <c r="G7" s="8">
        <v>0</v>
      </c>
      <c r="H7" s="8">
        <v>0</v>
      </c>
      <c r="I7" s="8">
        <v>0</v>
      </c>
      <c r="J7" s="8">
        <v>0</v>
      </c>
    </row>
    <row r="8" spans="1:10" ht="18.75" thickBot="1" x14ac:dyDescent="0.3">
      <c r="A8" s="2">
        <v>2014</v>
      </c>
      <c r="B8" s="3" t="s">
        <v>9</v>
      </c>
      <c r="C8" s="4">
        <v>1257</v>
      </c>
      <c r="D8" s="9">
        <v>0</v>
      </c>
      <c r="E8" s="25">
        <v>0</v>
      </c>
      <c r="F8" s="6">
        <v>509</v>
      </c>
      <c r="G8" s="8">
        <v>500</v>
      </c>
      <c r="H8" s="11">
        <v>7.8</v>
      </c>
      <c r="I8" s="8">
        <v>2595</v>
      </c>
      <c r="J8" s="10">
        <v>284</v>
      </c>
    </row>
    <row r="9" spans="1:10" ht="18.75" thickBot="1" x14ac:dyDescent="0.3">
      <c r="A9" s="2">
        <v>2014</v>
      </c>
      <c r="B9" s="5" t="s">
        <v>10</v>
      </c>
      <c r="C9" s="6"/>
      <c r="D9" s="14">
        <v>39698</v>
      </c>
      <c r="E9" s="27">
        <v>171</v>
      </c>
      <c r="F9" s="6">
        <v>21852</v>
      </c>
      <c r="G9" s="13">
        <v>21084</v>
      </c>
      <c r="H9" s="13">
        <v>162.80000000000001</v>
      </c>
      <c r="I9" s="12">
        <v>144359</v>
      </c>
      <c r="J9" s="12">
        <v>2485</v>
      </c>
    </row>
    <row r="10" spans="1:10" ht="18.75" thickBot="1" x14ac:dyDescent="0.3">
      <c r="A10" s="2">
        <v>2015</v>
      </c>
      <c r="B10" s="3" t="s">
        <v>3</v>
      </c>
      <c r="C10" s="4">
        <v>1251</v>
      </c>
      <c r="D10" s="9">
        <v>0</v>
      </c>
      <c r="E10" s="25">
        <v>0</v>
      </c>
      <c r="F10" s="6">
        <v>0</v>
      </c>
      <c r="G10" s="8">
        <v>0</v>
      </c>
      <c r="H10" s="8">
        <v>0</v>
      </c>
      <c r="I10" s="8">
        <v>0</v>
      </c>
      <c r="J10" s="8">
        <v>0</v>
      </c>
    </row>
    <row r="11" spans="1:10" ht="18.75" thickBot="1" x14ac:dyDescent="0.3">
      <c r="A11" s="2">
        <v>2015</v>
      </c>
      <c r="B11" s="3" t="s">
        <v>4</v>
      </c>
      <c r="C11" s="4">
        <v>1252</v>
      </c>
      <c r="D11" s="9">
        <v>807</v>
      </c>
      <c r="E11" s="26">
        <v>5</v>
      </c>
      <c r="F11" s="6">
        <v>3675</v>
      </c>
      <c r="G11" s="8">
        <v>0</v>
      </c>
      <c r="H11" s="8">
        <v>0</v>
      </c>
      <c r="I11" s="8">
        <v>2146</v>
      </c>
      <c r="J11" s="10">
        <v>41</v>
      </c>
    </row>
    <row r="12" spans="1:10" ht="18.75" thickBot="1" x14ac:dyDescent="0.3">
      <c r="A12" s="2">
        <v>2015</v>
      </c>
      <c r="B12" s="3" t="s">
        <v>5</v>
      </c>
      <c r="C12" s="4">
        <v>1253</v>
      </c>
      <c r="D12" s="9">
        <v>2769</v>
      </c>
      <c r="E12" s="25">
        <v>31</v>
      </c>
      <c r="F12" s="6">
        <v>732</v>
      </c>
      <c r="G12" s="8">
        <v>982</v>
      </c>
      <c r="H12" s="8">
        <v>0</v>
      </c>
      <c r="I12" s="8">
        <v>20883</v>
      </c>
      <c r="J12" s="11">
        <v>125</v>
      </c>
    </row>
    <row r="13" spans="1:10" ht="18.75" thickBot="1" x14ac:dyDescent="0.3">
      <c r="A13" s="2">
        <v>2015</v>
      </c>
      <c r="B13" s="3" t="s">
        <v>6</v>
      </c>
      <c r="C13" s="4">
        <v>1254</v>
      </c>
      <c r="D13" s="9">
        <v>25489.5</v>
      </c>
      <c r="E13" s="25">
        <v>6</v>
      </c>
      <c r="F13" s="6">
        <v>829</v>
      </c>
      <c r="G13" s="8">
        <v>11923</v>
      </c>
      <c r="H13" s="8">
        <v>34.4</v>
      </c>
      <c r="I13" s="8">
        <v>73663</v>
      </c>
      <c r="J13" s="11">
        <v>221</v>
      </c>
    </row>
    <row r="14" spans="1:10" ht="18.75" thickBot="1" x14ac:dyDescent="0.3">
      <c r="A14" s="2">
        <v>2015</v>
      </c>
      <c r="B14" s="3" t="s">
        <v>7</v>
      </c>
      <c r="C14" s="4">
        <v>1255</v>
      </c>
      <c r="D14" s="9">
        <v>9749</v>
      </c>
      <c r="E14" s="25">
        <v>0</v>
      </c>
      <c r="F14" s="6">
        <v>15540</v>
      </c>
      <c r="G14" s="8">
        <v>4455</v>
      </c>
      <c r="H14" s="8">
        <v>73</v>
      </c>
      <c r="I14" s="8">
        <v>31726</v>
      </c>
      <c r="J14" s="11">
        <v>1205</v>
      </c>
    </row>
    <row r="15" spans="1:10" ht="18.75" thickBot="1" x14ac:dyDescent="0.3">
      <c r="A15" s="2">
        <v>2015</v>
      </c>
      <c r="B15" s="3" t="s">
        <v>8</v>
      </c>
      <c r="C15" s="4">
        <v>1256</v>
      </c>
      <c r="D15" s="9">
        <v>0</v>
      </c>
      <c r="E15" s="25">
        <v>0</v>
      </c>
      <c r="F15" s="6">
        <v>0</v>
      </c>
      <c r="G15" s="8">
        <v>0</v>
      </c>
      <c r="H15" s="8">
        <v>0</v>
      </c>
      <c r="I15" s="8">
        <v>0</v>
      </c>
      <c r="J15" s="8">
        <v>0</v>
      </c>
    </row>
    <row r="16" spans="1:10" ht="18.75" thickBot="1" x14ac:dyDescent="0.3">
      <c r="A16" s="2">
        <v>2015</v>
      </c>
      <c r="B16" s="3" t="s">
        <v>9</v>
      </c>
      <c r="C16" s="4">
        <v>1257</v>
      </c>
      <c r="D16" s="9">
        <v>0</v>
      </c>
      <c r="E16" s="25">
        <v>0</v>
      </c>
      <c r="F16" s="6">
        <v>380</v>
      </c>
      <c r="G16" s="8">
        <v>485</v>
      </c>
      <c r="H16" s="11">
        <v>5</v>
      </c>
      <c r="I16" s="8">
        <v>2250</v>
      </c>
      <c r="J16" s="10">
        <v>124</v>
      </c>
    </row>
    <row r="17" spans="1:10" ht="18.75" thickBot="1" x14ac:dyDescent="0.3">
      <c r="A17" s="2">
        <v>2015</v>
      </c>
      <c r="B17" s="5" t="s">
        <v>10</v>
      </c>
      <c r="C17" s="6"/>
      <c r="D17" s="14">
        <v>38814.5</v>
      </c>
      <c r="E17" s="27">
        <v>42</v>
      </c>
      <c r="F17" s="6">
        <v>21156</v>
      </c>
      <c r="G17" s="13">
        <v>17845</v>
      </c>
      <c r="H17" s="13">
        <v>112.4</v>
      </c>
      <c r="I17" s="12">
        <v>130668</v>
      </c>
      <c r="J17" s="12">
        <v>1716</v>
      </c>
    </row>
    <row r="18" spans="1:10" ht="18.75" thickBot="1" x14ac:dyDescent="0.3">
      <c r="A18" s="2">
        <v>2016</v>
      </c>
      <c r="B18" s="3" t="s">
        <v>3</v>
      </c>
      <c r="C18" s="4">
        <v>1251</v>
      </c>
      <c r="D18" s="9">
        <v>0</v>
      </c>
      <c r="E18" s="25">
        <v>0</v>
      </c>
      <c r="F18" s="6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18.75" thickBot="1" x14ac:dyDescent="0.3">
      <c r="A19" s="2">
        <v>2016</v>
      </c>
      <c r="B19" s="3" t="s">
        <v>4</v>
      </c>
      <c r="C19" s="4">
        <v>1252</v>
      </c>
      <c r="D19" s="9">
        <v>869</v>
      </c>
      <c r="E19" s="26">
        <v>0</v>
      </c>
      <c r="F19" s="6">
        <v>2170</v>
      </c>
      <c r="G19" s="8">
        <v>0</v>
      </c>
      <c r="H19" s="8">
        <v>0</v>
      </c>
      <c r="I19" s="8">
        <v>1466</v>
      </c>
      <c r="J19" s="10">
        <v>87</v>
      </c>
    </row>
    <row r="20" spans="1:10" ht="18.75" thickBot="1" x14ac:dyDescent="0.3">
      <c r="A20" s="2">
        <v>2016</v>
      </c>
      <c r="B20" s="3" t="s">
        <v>5</v>
      </c>
      <c r="C20" s="4">
        <v>1253</v>
      </c>
      <c r="D20" s="9">
        <v>2559</v>
      </c>
      <c r="E20" s="25">
        <v>66</v>
      </c>
      <c r="F20" s="6">
        <v>776</v>
      </c>
      <c r="G20" s="8">
        <v>850</v>
      </c>
      <c r="H20" s="8">
        <v>20</v>
      </c>
      <c r="I20" s="8">
        <v>23052</v>
      </c>
      <c r="J20" s="11">
        <v>311</v>
      </c>
    </row>
    <row r="21" spans="1:10" ht="18.75" thickBot="1" x14ac:dyDescent="0.3">
      <c r="A21" s="2">
        <v>2016</v>
      </c>
      <c r="B21" s="3" t="s">
        <v>6</v>
      </c>
      <c r="C21" s="4">
        <v>1254</v>
      </c>
      <c r="D21" s="9">
        <v>23799.66</v>
      </c>
      <c r="E21" s="25">
        <v>0</v>
      </c>
      <c r="F21" s="6">
        <v>788</v>
      </c>
      <c r="G21" s="8">
        <v>9570</v>
      </c>
      <c r="H21" s="15">
        <v>52.6</v>
      </c>
      <c r="I21" s="8">
        <v>70299</v>
      </c>
      <c r="J21" s="11">
        <v>526</v>
      </c>
    </row>
    <row r="22" spans="1:10" ht="18.75" thickBot="1" x14ac:dyDescent="0.3">
      <c r="A22" s="2">
        <v>2016</v>
      </c>
      <c r="B22" s="3" t="s">
        <v>7</v>
      </c>
      <c r="C22" s="4">
        <v>1255</v>
      </c>
      <c r="D22" s="9">
        <v>10457.779999999999</v>
      </c>
      <c r="E22" s="25">
        <v>0</v>
      </c>
      <c r="F22" s="6">
        <v>13700</v>
      </c>
      <c r="G22" s="8">
        <v>1964</v>
      </c>
      <c r="H22" s="8">
        <v>12.25</v>
      </c>
      <c r="I22" s="8">
        <v>27615</v>
      </c>
      <c r="J22" s="11">
        <v>2925</v>
      </c>
    </row>
    <row r="23" spans="1:10" ht="18.75" thickBot="1" x14ac:dyDescent="0.3">
      <c r="A23" s="2">
        <v>2016</v>
      </c>
      <c r="B23" s="3" t="s">
        <v>8</v>
      </c>
      <c r="C23" s="4">
        <v>1256</v>
      </c>
      <c r="D23" s="9">
        <v>0</v>
      </c>
      <c r="E23" s="25">
        <v>0</v>
      </c>
      <c r="F23" s="6">
        <v>0</v>
      </c>
      <c r="G23" s="8">
        <v>0</v>
      </c>
      <c r="H23" s="8">
        <v>0</v>
      </c>
      <c r="I23" s="8">
        <v>0</v>
      </c>
      <c r="J23" s="8">
        <v>0</v>
      </c>
    </row>
    <row r="24" spans="1:10" ht="18.75" thickBot="1" x14ac:dyDescent="0.3">
      <c r="A24" s="2">
        <v>2016</v>
      </c>
      <c r="B24" s="3" t="s">
        <v>9</v>
      </c>
      <c r="C24" s="4">
        <v>1257</v>
      </c>
      <c r="D24" s="9">
        <v>0</v>
      </c>
      <c r="E24" s="25">
        <v>0</v>
      </c>
      <c r="F24" s="6">
        <v>357</v>
      </c>
      <c r="G24" s="8">
        <v>400</v>
      </c>
      <c r="H24" s="15">
        <v>2.5</v>
      </c>
      <c r="I24" s="12">
        <v>1085</v>
      </c>
      <c r="J24" s="10">
        <v>331</v>
      </c>
    </row>
    <row r="25" spans="1:10" ht="18.75" thickBot="1" x14ac:dyDescent="0.3">
      <c r="A25" s="2">
        <v>2016</v>
      </c>
      <c r="B25" s="5" t="s">
        <v>10</v>
      </c>
      <c r="C25" s="6"/>
      <c r="D25" s="14">
        <v>37685.440000000002</v>
      </c>
      <c r="E25" s="27">
        <v>66</v>
      </c>
      <c r="F25" s="6">
        <v>17791</v>
      </c>
      <c r="G25" s="13">
        <v>12784</v>
      </c>
      <c r="H25" s="13">
        <v>87.35</v>
      </c>
      <c r="I25" s="12">
        <v>123517</v>
      </c>
      <c r="J25" s="12">
        <v>4180</v>
      </c>
    </row>
    <row r="26" spans="1:10" ht="18.75" thickBot="1" x14ac:dyDescent="0.3">
      <c r="A26" s="2">
        <v>2017</v>
      </c>
      <c r="B26" s="3" t="s">
        <v>3</v>
      </c>
      <c r="C26" s="4">
        <v>1251</v>
      </c>
      <c r="D26" s="9">
        <v>0</v>
      </c>
      <c r="E26" s="25">
        <v>0</v>
      </c>
      <c r="F26" s="6">
        <v>0</v>
      </c>
      <c r="G26" s="8">
        <v>0</v>
      </c>
      <c r="H26" s="8">
        <v>0</v>
      </c>
      <c r="I26" s="8">
        <v>0</v>
      </c>
      <c r="J26" s="8">
        <v>0</v>
      </c>
    </row>
    <row r="27" spans="1:10" ht="18.75" thickBot="1" x14ac:dyDescent="0.3">
      <c r="A27" s="2">
        <v>2017</v>
      </c>
      <c r="B27" s="3" t="s">
        <v>4</v>
      </c>
      <c r="C27" s="4">
        <v>1252</v>
      </c>
      <c r="D27" s="9">
        <v>747</v>
      </c>
      <c r="E27" s="26">
        <v>0</v>
      </c>
      <c r="F27" s="6">
        <v>2183</v>
      </c>
      <c r="G27" s="8">
        <v>0</v>
      </c>
      <c r="H27" s="8">
        <v>0</v>
      </c>
      <c r="I27" s="8">
        <v>840</v>
      </c>
      <c r="J27" s="10">
        <v>37</v>
      </c>
    </row>
    <row r="28" spans="1:10" ht="18.75" thickBot="1" x14ac:dyDescent="0.3">
      <c r="A28" s="2">
        <v>2017</v>
      </c>
      <c r="B28" s="3" t="s">
        <v>5</v>
      </c>
      <c r="C28" s="4">
        <v>1253</v>
      </c>
      <c r="D28" s="9">
        <v>3224</v>
      </c>
      <c r="E28" s="25">
        <v>21</v>
      </c>
      <c r="F28" s="6">
        <v>956</v>
      </c>
      <c r="G28" s="8">
        <v>860</v>
      </c>
      <c r="H28" s="8">
        <v>25</v>
      </c>
      <c r="I28" s="8">
        <v>22860.400000000001</v>
      </c>
      <c r="J28" s="11">
        <v>91</v>
      </c>
    </row>
    <row r="29" spans="1:10" ht="18.75" thickBot="1" x14ac:dyDescent="0.3">
      <c r="A29" s="2">
        <v>2017</v>
      </c>
      <c r="B29" s="3" t="s">
        <v>6</v>
      </c>
      <c r="C29" s="4">
        <v>1254</v>
      </c>
      <c r="D29" s="9">
        <v>16142</v>
      </c>
      <c r="E29" s="25">
        <v>0</v>
      </c>
      <c r="F29" s="6">
        <v>907</v>
      </c>
      <c r="G29" s="8">
        <v>13000</v>
      </c>
      <c r="H29" s="15">
        <v>138</v>
      </c>
      <c r="I29" s="8">
        <v>52073.1</v>
      </c>
      <c r="J29" s="11">
        <v>382</v>
      </c>
    </row>
    <row r="30" spans="1:10" ht="18.75" thickBot="1" x14ac:dyDescent="0.3">
      <c r="A30" s="2">
        <v>2017</v>
      </c>
      <c r="B30" s="3" t="s">
        <v>7</v>
      </c>
      <c r="C30" s="4">
        <v>1255</v>
      </c>
      <c r="D30" s="9">
        <v>7635</v>
      </c>
      <c r="E30" s="25">
        <v>63</v>
      </c>
      <c r="F30" s="6">
        <v>14382.5</v>
      </c>
      <c r="G30" s="8">
        <v>5200</v>
      </c>
      <c r="H30" s="8">
        <v>56.5</v>
      </c>
      <c r="I30" s="8">
        <v>22033.599999999999</v>
      </c>
      <c r="J30" s="11">
        <v>976</v>
      </c>
    </row>
    <row r="31" spans="1:10" ht="18.75" thickBot="1" x14ac:dyDescent="0.3">
      <c r="A31" s="2">
        <v>2017</v>
      </c>
      <c r="B31" s="3" t="s">
        <v>8</v>
      </c>
      <c r="C31" s="4">
        <v>1256</v>
      </c>
      <c r="D31" s="9">
        <v>0</v>
      </c>
      <c r="E31" s="25">
        <v>0</v>
      </c>
      <c r="F31" s="6">
        <v>0</v>
      </c>
      <c r="G31" s="8">
        <v>0</v>
      </c>
      <c r="H31" s="8">
        <v>0</v>
      </c>
      <c r="I31" s="8">
        <v>0</v>
      </c>
      <c r="J31" s="8">
        <v>0</v>
      </c>
    </row>
    <row r="32" spans="1:10" ht="18.75" thickBot="1" x14ac:dyDescent="0.3">
      <c r="A32" s="2">
        <v>2017</v>
      </c>
      <c r="B32" s="3" t="s">
        <v>9</v>
      </c>
      <c r="C32" s="4">
        <v>1257</v>
      </c>
      <c r="D32" s="9">
        <v>0</v>
      </c>
      <c r="E32" s="25">
        <v>0</v>
      </c>
      <c r="F32" s="6">
        <v>342</v>
      </c>
      <c r="G32" s="8">
        <v>340</v>
      </c>
      <c r="H32" s="15">
        <v>0</v>
      </c>
      <c r="I32" s="8">
        <v>705</v>
      </c>
      <c r="J32" s="10">
        <v>117</v>
      </c>
    </row>
    <row r="33" spans="1:10" ht="18.75" thickBot="1" x14ac:dyDescent="0.3">
      <c r="A33" s="2">
        <v>2017</v>
      </c>
      <c r="B33" s="5" t="s">
        <v>10</v>
      </c>
      <c r="C33" s="6"/>
      <c r="D33" s="14">
        <v>27748</v>
      </c>
      <c r="E33" s="27">
        <v>84</v>
      </c>
      <c r="F33" s="6">
        <v>18770.5</v>
      </c>
      <c r="G33" s="13">
        <v>19400</v>
      </c>
      <c r="H33" s="13">
        <v>219.5</v>
      </c>
      <c r="I33" s="12">
        <v>98512.1</v>
      </c>
      <c r="J33" s="12">
        <v>1603</v>
      </c>
    </row>
    <row r="34" spans="1:10" ht="18.75" thickBot="1" x14ac:dyDescent="0.3">
      <c r="A34" s="2">
        <v>2018</v>
      </c>
      <c r="B34" s="3" t="s">
        <v>3</v>
      </c>
      <c r="C34" s="4">
        <v>1251</v>
      </c>
      <c r="D34" s="9">
        <v>0</v>
      </c>
      <c r="E34" s="25">
        <v>0</v>
      </c>
      <c r="F34" s="6">
        <v>0</v>
      </c>
      <c r="G34" s="10">
        <v>0</v>
      </c>
      <c r="H34" s="8">
        <v>0</v>
      </c>
      <c r="I34" s="8">
        <v>0</v>
      </c>
      <c r="J34" s="8">
        <v>0</v>
      </c>
    </row>
    <row r="35" spans="1:10" ht="18.75" thickBot="1" x14ac:dyDescent="0.3">
      <c r="A35" s="2">
        <v>2018</v>
      </c>
      <c r="B35" s="3" t="s">
        <v>4</v>
      </c>
      <c r="C35" s="4">
        <v>1252</v>
      </c>
      <c r="D35" s="17">
        <v>625.5</v>
      </c>
      <c r="E35" s="28">
        <v>0</v>
      </c>
      <c r="F35" s="6">
        <v>2133.8130000000001</v>
      </c>
      <c r="G35" s="10">
        <v>0</v>
      </c>
      <c r="H35" s="8">
        <v>0</v>
      </c>
      <c r="I35" s="8">
        <v>432</v>
      </c>
      <c r="J35" s="16">
        <v>63</v>
      </c>
    </row>
    <row r="36" spans="1:10" ht="18.75" thickBot="1" x14ac:dyDescent="0.3">
      <c r="A36" s="2">
        <v>2018</v>
      </c>
      <c r="B36" s="3" t="s">
        <v>5</v>
      </c>
      <c r="C36" s="4">
        <v>1253</v>
      </c>
      <c r="D36" s="17">
        <v>1132.4000000000001</v>
      </c>
      <c r="E36" s="25">
        <v>56</v>
      </c>
      <c r="F36" s="6">
        <v>932.97500000000002</v>
      </c>
      <c r="G36" s="11">
        <v>1050</v>
      </c>
      <c r="H36" s="8">
        <v>0</v>
      </c>
      <c r="I36" s="11">
        <v>16375</v>
      </c>
      <c r="J36" s="11">
        <v>263</v>
      </c>
    </row>
    <row r="37" spans="1:10" ht="18.75" thickBot="1" x14ac:dyDescent="0.3">
      <c r="A37" s="2">
        <v>2018</v>
      </c>
      <c r="B37" s="3" t="s">
        <v>6</v>
      </c>
      <c r="C37" s="4">
        <v>1254</v>
      </c>
      <c r="D37" s="17">
        <v>9492</v>
      </c>
      <c r="E37" s="25">
        <v>67.5</v>
      </c>
      <c r="F37" s="6">
        <v>908.45950000000005</v>
      </c>
      <c r="G37" s="11">
        <v>14507</v>
      </c>
      <c r="H37" s="15">
        <v>24.6</v>
      </c>
      <c r="I37" s="11">
        <v>45711.5</v>
      </c>
      <c r="J37" s="18">
        <v>316</v>
      </c>
    </row>
    <row r="38" spans="1:10" ht="18.75" thickBot="1" x14ac:dyDescent="0.3">
      <c r="A38" s="2">
        <v>2018</v>
      </c>
      <c r="B38" s="3" t="s">
        <v>7</v>
      </c>
      <c r="C38" s="4">
        <v>1255</v>
      </c>
      <c r="D38" s="9">
        <v>7420</v>
      </c>
      <c r="E38" s="25">
        <v>0</v>
      </c>
      <c r="F38" s="6">
        <v>14535.185250000002</v>
      </c>
      <c r="G38" s="11">
        <v>5280</v>
      </c>
      <c r="H38" s="8">
        <v>12</v>
      </c>
      <c r="I38" s="11">
        <v>14966.2</v>
      </c>
      <c r="J38" s="11">
        <v>1785</v>
      </c>
    </row>
    <row r="39" spans="1:10" ht="18.75" thickBot="1" x14ac:dyDescent="0.3">
      <c r="A39" s="2">
        <v>2018</v>
      </c>
      <c r="B39" s="3" t="s">
        <v>8</v>
      </c>
      <c r="C39" s="4">
        <v>1256</v>
      </c>
      <c r="D39" s="9">
        <v>0</v>
      </c>
      <c r="E39" s="25">
        <v>0</v>
      </c>
      <c r="F39" s="6">
        <v>0</v>
      </c>
      <c r="G39" s="10">
        <v>0</v>
      </c>
      <c r="H39" s="8">
        <v>0</v>
      </c>
      <c r="I39" s="8">
        <v>0</v>
      </c>
      <c r="J39" s="8">
        <v>0</v>
      </c>
    </row>
    <row r="40" spans="1:10" ht="18.75" thickBot="1" x14ac:dyDescent="0.3">
      <c r="A40" s="2">
        <v>2018</v>
      </c>
      <c r="B40" s="3" t="s">
        <v>9</v>
      </c>
      <c r="C40" s="4">
        <v>1257</v>
      </c>
      <c r="D40" s="9">
        <v>0</v>
      </c>
      <c r="E40" s="25">
        <v>0</v>
      </c>
      <c r="F40" s="6">
        <v>314.601</v>
      </c>
      <c r="G40" s="10">
        <v>170</v>
      </c>
      <c r="H40" s="15">
        <v>8</v>
      </c>
      <c r="I40" s="8">
        <v>1230</v>
      </c>
      <c r="J40" s="10">
        <v>318</v>
      </c>
    </row>
    <row r="41" spans="1:10" ht="18.75" thickBot="1" x14ac:dyDescent="0.3">
      <c r="A41" s="2">
        <v>2018</v>
      </c>
      <c r="B41" s="5" t="s">
        <v>10</v>
      </c>
      <c r="C41" s="6"/>
      <c r="D41" s="14">
        <v>18669.900000000001</v>
      </c>
      <c r="E41" s="27">
        <v>123.5</v>
      </c>
      <c r="F41" s="6">
        <v>18825.033750000002</v>
      </c>
      <c r="G41" s="13">
        <v>21007</v>
      </c>
      <c r="H41" s="19">
        <v>44.6</v>
      </c>
      <c r="I41" s="12">
        <v>78714.7</v>
      </c>
      <c r="J41" s="12">
        <v>2745</v>
      </c>
    </row>
    <row r="42" spans="1:10" ht="18.75" thickBot="1" x14ac:dyDescent="0.3">
      <c r="A42" s="2">
        <v>2019</v>
      </c>
      <c r="B42" s="3" t="s">
        <v>3</v>
      </c>
      <c r="C42" s="4">
        <v>1251</v>
      </c>
      <c r="D42" s="9">
        <v>0</v>
      </c>
      <c r="E42" s="25">
        <v>0</v>
      </c>
      <c r="F42" s="6">
        <v>0</v>
      </c>
      <c r="G42" s="10">
        <v>0</v>
      </c>
      <c r="H42" s="8">
        <v>0</v>
      </c>
      <c r="I42" s="8">
        <v>0</v>
      </c>
      <c r="J42" s="20">
        <v>0</v>
      </c>
    </row>
    <row r="43" spans="1:10" ht="18.75" thickBot="1" x14ac:dyDescent="0.3">
      <c r="A43" s="2">
        <v>2019</v>
      </c>
      <c r="B43" s="3" t="s">
        <v>4</v>
      </c>
      <c r="C43" s="4">
        <v>1252</v>
      </c>
      <c r="D43" s="17">
        <v>620</v>
      </c>
      <c r="E43" s="28">
        <v>0</v>
      </c>
      <c r="F43" s="6">
        <v>2102.3040000000001</v>
      </c>
      <c r="G43" s="10">
        <v>0</v>
      </c>
      <c r="H43" s="8">
        <v>0</v>
      </c>
      <c r="I43" s="8">
        <v>840</v>
      </c>
      <c r="J43" s="16">
        <v>56</v>
      </c>
    </row>
    <row r="44" spans="1:10" ht="18.75" thickBot="1" x14ac:dyDescent="0.3">
      <c r="A44" s="2">
        <v>2019</v>
      </c>
      <c r="B44" s="3" t="s">
        <v>5</v>
      </c>
      <c r="C44" s="4">
        <v>1253</v>
      </c>
      <c r="D44" s="17">
        <v>1165</v>
      </c>
      <c r="E44" s="25">
        <v>149.19999999999999</v>
      </c>
      <c r="F44" s="6">
        <v>839.93599999999992</v>
      </c>
      <c r="G44" s="11">
        <v>1411</v>
      </c>
      <c r="H44" s="8">
        <v>10</v>
      </c>
      <c r="I44" s="8">
        <v>18472</v>
      </c>
      <c r="J44" s="11">
        <v>194</v>
      </c>
    </row>
    <row r="45" spans="1:10" ht="18.75" thickBot="1" x14ac:dyDescent="0.3">
      <c r="A45" s="2">
        <v>2019</v>
      </c>
      <c r="B45" s="3" t="s">
        <v>6</v>
      </c>
      <c r="C45" s="4">
        <v>1254</v>
      </c>
      <c r="D45" s="17">
        <v>14413</v>
      </c>
      <c r="E45" s="25">
        <v>180.8</v>
      </c>
      <c r="F45" s="6">
        <v>1192.93</v>
      </c>
      <c r="G45" s="11">
        <v>12685</v>
      </c>
      <c r="H45" s="15">
        <v>3.9</v>
      </c>
      <c r="I45" s="15">
        <v>44657.5</v>
      </c>
      <c r="J45" s="21">
        <v>274</v>
      </c>
    </row>
    <row r="46" spans="1:10" ht="18.75" thickBot="1" x14ac:dyDescent="0.3">
      <c r="A46" s="2">
        <v>2019</v>
      </c>
      <c r="B46" s="3" t="s">
        <v>7</v>
      </c>
      <c r="C46" s="4">
        <v>1255</v>
      </c>
      <c r="D46" s="9">
        <v>9190</v>
      </c>
      <c r="E46" s="25">
        <v>33.6</v>
      </c>
      <c r="F46" s="6">
        <v>16015.705</v>
      </c>
      <c r="G46" s="11">
        <v>5365</v>
      </c>
      <c r="H46" s="8">
        <v>62.4</v>
      </c>
      <c r="I46" s="15">
        <v>16109</v>
      </c>
      <c r="J46" s="11">
        <v>1343</v>
      </c>
    </row>
    <row r="47" spans="1:10" ht="18.75" thickBot="1" x14ac:dyDescent="0.3">
      <c r="A47" s="2">
        <v>2019</v>
      </c>
      <c r="B47" s="3" t="s">
        <v>8</v>
      </c>
      <c r="C47" s="4">
        <v>1256</v>
      </c>
      <c r="D47" s="9">
        <v>0</v>
      </c>
      <c r="E47" s="25">
        <v>0</v>
      </c>
      <c r="F47" s="6">
        <v>0</v>
      </c>
      <c r="G47" s="10">
        <v>0</v>
      </c>
      <c r="H47" s="8">
        <v>0</v>
      </c>
      <c r="I47" s="8">
        <v>0</v>
      </c>
      <c r="J47" s="8">
        <v>0</v>
      </c>
    </row>
    <row r="48" spans="1:10" ht="18.75" thickBot="1" x14ac:dyDescent="0.3">
      <c r="A48" s="2">
        <v>2019</v>
      </c>
      <c r="B48" s="3" t="s">
        <v>9</v>
      </c>
      <c r="C48" s="4">
        <v>1257</v>
      </c>
      <c r="D48" s="9">
        <v>0</v>
      </c>
      <c r="E48" s="25">
        <v>0</v>
      </c>
      <c r="F48" s="6">
        <v>248.8</v>
      </c>
      <c r="G48" s="10">
        <v>89</v>
      </c>
      <c r="H48" s="15">
        <v>1.3</v>
      </c>
      <c r="I48" s="8">
        <v>0</v>
      </c>
      <c r="J48" s="10">
        <v>193</v>
      </c>
    </row>
    <row r="49" spans="1:10" ht="18.75" thickBot="1" x14ac:dyDescent="0.3">
      <c r="A49" s="2">
        <v>2019</v>
      </c>
      <c r="B49" s="5" t="s">
        <v>10</v>
      </c>
      <c r="C49" s="6"/>
      <c r="D49" s="14">
        <v>25388</v>
      </c>
      <c r="E49" s="27">
        <v>364</v>
      </c>
      <c r="F49" s="6">
        <v>20399.674999999999</v>
      </c>
      <c r="G49" s="13">
        <v>19550</v>
      </c>
      <c r="H49" s="19">
        <v>77.599999999999994</v>
      </c>
      <c r="I49" s="12">
        <v>80078.5</v>
      </c>
      <c r="J49" s="23">
        <v>2060</v>
      </c>
    </row>
    <row r="50" spans="1:10" ht="18.75" thickBot="1" x14ac:dyDescent="0.3">
      <c r="A50" s="29">
        <v>2020</v>
      </c>
      <c r="B50" s="3" t="s">
        <v>3</v>
      </c>
      <c r="C50" s="4">
        <v>1251</v>
      </c>
      <c r="D50" s="30">
        <v>0</v>
      </c>
      <c r="E50" s="30">
        <v>0</v>
      </c>
      <c r="F50" s="30">
        <v>0</v>
      </c>
      <c r="G50" s="37">
        <v>0</v>
      </c>
      <c r="H50" s="33">
        <v>0</v>
      </c>
      <c r="I50" s="33">
        <v>0</v>
      </c>
      <c r="J50" s="43">
        <v>0</v>
      </c>
    </row>
    <row r="51" spans="1:10" ht="18.75" thickBot="1" x14ac:dyDescent="0.3">
      <c r="A51" s="29">
        <v>2020</v>
      </c>
      <c r="B51" s="3" t="s">
        <v>4</v>
      </c>
      <c r="C51" s="4">
        <v>1252</v>
      </c>
      <c r="D51" s="31">
        <v>669</v>
      </c>
      <c r="E51" s="31">
        <v>0</v>
      </c>
      <c r="F51" s="31">
        <v>1962</v>
      </c>
      <c r="G51" s="37">
        <v>0</v>
      </c>
      <c r="H51" s="33">
        <v>0</v>
      </c>
      <c r="I51" s="33">
        <v>329</v>
      </c>
      <c r="J51" s="44">
        <v>62</v>
      </c>
    </row>
    <row r="52" spans="1:10" ht="18.75" thickBot="1" x14ac:dyDescent="0.3">
      <c r="A52" s="29">
        <v>2020</v>
      </c>
      <c r="B52" s="3" t="s">
        <v>5</v>
      </c>
      <c r="C52" s="4">
        <v>1253</v>
      </c>
      <c r="D52" s="31">
        <v>1685</v>
      </c>
      <c r="E52" s="30">
        <v>233.5</v>
      </c>
      <c r="F52" s="31">
        <v>708</v>
      </c>
      <c r="G52" s="34">
        <v>1193</v>
      </c>
      <c r="H52" s="33">
        <v>0</v>
      </c>
      <c r="I52" s="33">
        <v>12971.4</v>
      </c>
      <c r="J52" s="45">
        <v>245</v>
      </c>
    </row>
    <row r="53" spans="1:10" ht="18.75" thickBot="1" x14ac:dyDescent="0.3">
      <c r="A53" s="29">
        <v>2020</v>
      </c>
      <c r="B53" s="3" t="s">
        <v>6</v>
      </c>
      <c r="C53" s="4">
        <v>1254</v>
      </c>
      <c r="D53" s="31">
        <v>20845</v>
      </c>
      <c r="E53" s="30">
        <v>100.8</v>
      </c>
      <c r="F53" s="31">
        <v>1121</v>
      </c>
      <c r="G53" s="34">
        <v>10237</v>
      </c>
      <c r="H53" s="39">
        <v>45.6</v>
      </c>
      <c r="I53" s="39">
        <v>54277.599999999999</v>
      </c>
      <c r="J53" s="46">
        <v>301</v>
      </c>
    </row>
    <row r="54" spans="1:10" ht="18.75" thickBot="1" x14ac:dyDescent="0.3">
      <c r="A54" s="29">
        <v>2020</v>
      </c>
      <c r="B54" s="3" t="s">
        <v>7</v>
      </c>
      <c r="C54" s="4">
        <v>1255</v>
      </c>
      <c r="D54" s="30">
        <v>9133</v>
      </c>
      <c r="E54" s="30">
        <v>86.5</v>
      </c>
      <c r="F54" s="31">
        <v>15314</v>
      </c>
      <c r="G54" s="34">
        <v>3470</v>
      </c>
      <c r="H54" s="33">
        <v>75</v>
      </c>
      <c r="I54" s="39">
        <v>15754.5</v>
      </c>
      <c r="J54" s="45">
        <v>2326</v>
      </c>
    </row>
    <row r="55" spans="1:10" ht="18.75" thickBot="1" x14ac:dyDescent="0.3">
      <c r="A55" s="29">
        <v>2020</v>
      </c>
      <c r="B55" s="3" t="s">
        <v>8</v>
      </c>
      <c r="C55" s="4">
        <v>1256</v>
      </c>
      <c r="D55" s="30">
        <v>0</v>
      </c>
      <c r="E55" s="30">
        <v>0</v>
      </c>
      <c r="F55" s="30">
        <v>0</v>
      </c>
      <c r="G55" s="37">
        <v>0</v>
      </c>
      <c r="H55" s="33">
        <v>0</v>
      </c>
      <c r="I55" s="33">
        <v>0</v>
      </c>
      <c r="J55" s="47">
        <v>0</v>
      </c>
    </row>
    <row r="56" spans="1:10" ht="18.75" thickBot="1" x14ac:dyDescent="0.3">
      <c r="A56" s="29">
        <v>2020</v>
      </c>
      <c r="B56" s="3" t="s">
        <v>9</v>
      </c>
      <c r="C56" s="4">
        <v>1257</v>
      </c>
      <c r="D56" s="30">
        <v>0</v>
      </c>
      <c r="E56" s="30">
        <v>0</v>
      </c>
      <c r="F56" s="31">
        <v>222</v>
      </c>
      <c r="G56" s="37">
        <v>200</v>
      </c>
      <c r="H56" s="39">
        <v>1.3</v>
      </c>
      <c r="I56" s="33">
        <v>725</v>
      </c>
      <c r="J56" s="48">
        <v>331</v>
      </c>
    </row>
    <row r="57" spans="1:10" ht="18.75" thickBot="1" x14ac:dyDescent="0.3">
      <c r="A57" s="29">
        <v>2020</v>
      </c>
      <c r="B57" s="5" t="s">
        <v>10</v>
      </c>
      <c r="C57" s="22"/>
      <c r="D57">
        <v>32332</v>
      </c>
      <c r="E57" s="32">
        <v>420.8</v>
      </c>
      <c r="F57" s="32">
        <v>19327</v>
      </c>
      <c r="G57" s="38">
        <v>15100</v>
      </c>
      <c r="H57" s="40">
        <v>121.89999999999999</v>
      </c>
      <c r="I57" s="41">
        <v>84057.5</v>
      </c>
      <c r="J57" s="41">
        <v>3265</v>
      </c>
    </row>
    <row r="58" spans="1:10" ht="18.75" thickBot="1" x14ac:dyDescent="0.3">
      <c r="A58">
        <v>2021</v>
      </c>
      <c r="B58" s="3" t="s">
        <v>3</v>
      </c>
      <c r="C58" s="4">
        <v>1251</v>
      </c>
      <c r="D58" s="30">
        <v>0</v>
      </c>
      <c r="E58" s="30">
        <v>0</v>
      </c>
      <c r="F58" s="30">
        <v>0</v>
      </c>
      <c r="G58" s="37">
        <v>0</v>
      </c>
      <c r="H58" s="33">
        <v>0</v>
      </c>
      <c r="I58" s="33">
        <v>0</v>
      </c>
      <c r="J58" s="33">
        <v>0</v>
      </c>
    </row>
    <row r="59" spans="1:10" ht="18.75" thickBot="1" x14ac:dyDescent="0.3">
      <c r="A59">
        <v>2021</v>
      </c>
      <c r="B59" s="3" t="s">
        <v>4</v>
      </c>
      <c r="C59" s="4">
        <v>1252</v>
      </c>
      <c r="D59" s="31">
        <v>438</v>
      </c>
      <c r="E59" s="31">
        <v>0</v>
      </c>
      <c r="F59" s="31">
        <v>1850</v>
      </c>
      <c r="G59" s="37">
        <v>0</v>
      </c>
      <c r="H59" s="33">
        <v>0</v>
      </c>
      <c r="I59" s="33">
        <v>1441</v>
      </c>
      <c r="J59" s="49">
        <v>31</v>
      </c>
    </row>
    <row r="60" spans="1:10" ht="18.75" thickBot="1" x14ac:dyDescent="0.3">
      <c r="A60">
        <v>2021</v>
      </c>
      <c r="B60" s="3" t="s">
        <v>5</v>
      </c>
      <c r="C60" s="4">
        <v>1253</v>
      </c>
      <c r="D60" s="31">
        <v>1045</v>
      </c>
      <c r="E60" s="30">
        <v>14</v>
      </c>
      <c r="F60" s="31">
        <v>500</v>
      </c>
      <c r="G60" s="34">
        <v>1674</v>
      </c>
      <c r="H60" s="33">
        <v>2.6</v>
      </c>
      <c r="I60" s="33">
        <v>21285</v>
      </c>
      <c r="J60" s="34">
        <v>86</v>
      </c>
    </row>
    <row r="61" spans="1:10" ht="18.75" thickBot="1" x14ac:dyDescent="0.3">
      <c r="A61">
        <v>2021</v>
      </c>
      <c r="B61" s="3" t="s">
        <v>6</v>
      </c>
      <c r="C61" s="4">
        <v>1254</v>
      </c>
      <c r="D61" s="31">
        <v>13048</v>
      </c>
      <c r="E61" s="30">
        <v>154.4</v>
      </c>
      <c r="F61" s="31">
        <v>1083</v>
      </c>
      <c r="G61" s="34">
        <v>11891</v>
      </c>
      <c r="H61" s="39">
        <v>33.6</v>
      </c>
      <c r="I61" s="39">
        <v>62019</v>
      </c>
      <c r="J61" s="34">
        <v>234</v>
      </c>
    </row>
    <row r="62" spans="1:10" ht="18.75" thickBot="1" x14ac:dyDescent="0.3">
      <c r="A62">
        <v>2021</v>
      </c>
      <c r="B62" s="3" t="s">
        <v>7</v>
      </c>
      <c r="C62" s="4">
        <v>1255</v>
      </c>
      <c r="D62" s="30">
        <v>6589</v>
      </c>
      <c r="E62" s="30">
        <v>127</v>
      </c>
      <c r="F62" s="31">
        <v>15249</v>
      </c>
      <c r="G62" s="34">
        <v>4468</v>
      </c>
      <c r="H62" s="33">
        <v>88.2</v>
      </c>
      <c r="I62" s="39">
        <v>12805</v>
      </c>
      <c r="J62" s="34">
        <v>907</v>
      </c>
    </row>
    <row r="63" spans="1:10" ht="18.75" thickBot="1" x14ac:dyDescent="0.3">
      <c r="A63">
        <v>2021</v>
      </c>
      <c r="B63" s="3" t="s">
        <v>8</v>
      </c>
      <c r="C63" s="4">
        <v>1256</v>
      </c>
      <c r="D63" s="30">
        <v>0</v>
      </c>
      <c r="E63" s="30">
        <v>0</v>
      </c>
      <c r="F63" s="30">
        <v>0</v>
      </c>
      <c r="G63" s="37">
        <v>0</v>
      </c>
      <c r="H63" s="33">
        <v>0</v>
      </c>
      <c r="I63" s="33">
        <v>0</v>
      </c>
      <c r="J63" s="33">
        <v>0</v>
      </c>
    </row>
    <row r="64" spans="1:10" ht="18.75" thickBot="1" x14ac:dyDescent="0.3">
      <c r="A64">
        <v>2021</v>
      </c>
      <c r="B64" s="3" t="s">
        <v>9</v>
      </c>
      <c r="C64" s="4">
        <v>1257</v>
      </c>
      <c r="D64" s="30">
        <v>0</v>
      </c>
      <c r="E64" s="30">
        <v>0</v>
      </c>
      <c r="F64" s="31">
        <v>215</v>
      </c>
      <c r="G64" s="37">
        <v>247</v>
      </c>
      <c r="H64" s="39">
        <v>0</v>
      </c>
      <c r="I64" s="33">
        <v>1094</v>
      </c>
      <c r="J64" s="37">
        <v>119</v>
      </c>
    </row>
    <row r="65" spans="1:10" ht="18.75" thickBot="1" x14ac:dyDescent="0.3">
      <c r="A65">
        <v>2021</v>
      </c>
      <c r="B65" s="5" t="s">
        <v>10</v>
      </c>
      <c r="D65" s="32">
        <v>21120</v>
      </c>
      <c r="E65" s="32">
        <v>295.39999999999998</v>
      </c>
      <c r="F65" s="32">
        <v>18897</v>
      </c>
      <c r="G65" s="38">
        <v>18280</v>
      </c>
      <c r="H65" s="40">
        <v>124.4</v>
      </c>
      <c r="I65" s="41">
        <v>98644</v>
      </c>
      <c r="J65" s="41">
        <v>1377</v>
      </c>
    </row>
    <row r="66" spans="1:10" ht="18.75" thickBot="1" x14ac:dyDescent="0.3">
      <c r="A66">
        <v>2022</v>
      </c>
      <c r="B66" s="3" t="s">
        <v>3</v>
      </c>
      <c r="C66" s="4">
        <v>1251</v>
      </c>
      <c r="D66" s="30">
        <v>0</v>
      </c>
      <c r="E66" s="30">
        <v>0</v>
      </c>
      <c r="F66" s="30">
        <v>0</v>
      </c>
      <c r="G66" s="37">
        <v>0</v>
      </c>
      <c r="H66" s="33">
        <v>0</v>
      </c>
      <c r="I66" s="33">
        <v>0</v>
      </c>
      <c r="J66" s="50">
        <v>0</v>
      </c>
    </row>
    <row r="67" spans="1:10" ht="18.75" thickBot="1" x14ac:dyDescent="0.3">
      <c r="A67">
        <v>2022</v>
      </c>
      <c r="B67" s="3" t="s">
        <v>4</v>
      </c>
      <c r="C67" s="4">
        <v>1252</v>
      </c>
      <c r="D67" s="31">
        <v>486</v>
      </c>
      <c r="E67" s="31">
        <v>0</v>
      </c>
      <c r="F67" s="31">
        <v>1928</v>
      </c>
      <c r="G67" s="37">
        <v>0</v>
      </c>
      <c r="H67" s="33">
        <v>0</v>
      </c>
      <c r="I67" s="33">
        <v>1490</v>
      </c>
      <c r="J67" s="51">
        <v>56</v>
      </c>
    </row>
    <row r="68" spans="1:10" ht="18.75" thickBot="1" x14ac:dyDescent="0.3">
      <c r="A68">
        <v>2022</v>
      </c>
      <c r="B68" s="3" t="s">
        <v>5</v>
      </c>
      <c r="C68" s="4">
        <v>1253</v>
      </c>
      <c r="D68" s="31">
        <v>1025</v>
      </c>
      <c r="E68" s="30">
        <v>0</v>
      </c>
      <c r="F68" s="31">
        <v>743.5</v>
      </c>
      <c r="G68" s="34">
        <v>1503</v>
      </c>
      <c r="H68" s="33">
        <v>0</v>
      </c>
      <c r="I68" s="33">
        <v>17041</v>
      </c>
      <c r="J68" s="52">
        <v>183</v>
      </c>
    </row>
    <row r="69" spans="1:10" ht="18.75" thickBot="1" x14ac:dyDescent="0.3">
      <c r="A69">
        <v>2022</v>
      </c>
      <c r="B69" s="3" t="s">
        <v>6</v>
      </c>
      <c r="C69" s="4">
        <v>1254</v>
      </c>
      <c r="D69" s="31">
        <v>5902</v>
      </c>
      <c r="E69" s="30">
        <v>0</v>
      </c>
      <c r="F69" s="31">
        <v>1420</v>
      </c>
      <c r="G69" s="34">
        <v>12310</v>
      </c>
      <c r="H69" s="39">
        <v>20</v>
      </c>
      <c r="I69" s="39">
        <v>54828</v>
      </c>
      <c r="J69" s="52">
        <v>288</v>
      </c>
    </row>
    <row r="70" spans="1:10" ht="18.75" thickBot="1" x14ac:dyDescent="0.3">
      <c r="A70">
        <v>2022</v>
      </c>
      <c r="B70" s="3" t="s">
        <v>7</v>
      </c>
      <c r="C70" s="4">
        <v>1255</v>
      </c>
      <c r="D70" s="30">
        <v>5132</v>
      </c>
      <c r="E70" s="35">
        <v>78.245999999999995</v>
      </c>
      <c r="F70" s="31">
        <v>18322</v>
      </c>
      <c r="G70" s="34">
        <v>4469.5</v>
      </c>
      <c r="H70" s="33">
        <v>81</v>
      </c>
      <c r="I70" s="39">
        <v>11330.4</v>
      </c>
      <c r="J70" s="52">
        <v>1975</v>
      </c>
    </row>
    <row r="71" spans="1:10" ht="18.75" thickBot="1" x14ac:dyDescent="0.3">
      <c r="A71">
        <v>2022</v>
      </c>
      <c r="B71" s="3" t="s">
        <v>8</v>
      </c>
      <c r="C71" s="4">
        <v>1256</v>
      </c>
      <c r="D71" s="30">
        <v>0</v>
      </c>
      <c r="E71" s="30">
        <v>0</v>
      </c>
      <c r="F71" s="30">
        <v>0</v>
      </c>
      <c r="G71" s="37">
        <v>0</v>
      </c>
      <c r="H71" s="33">
        <v>0</v>
      </c>
      <c r="I71" s="33">
        <v>0</v>
      </c>
      <c r="J71" s="50">
        <v>0</v>
      </c>
    </row>
    <row r="72" spans="1:10" ht="18.75" thickBot="1" x14ac:dyDescent="0.3">
      <c r="A72">
        <v>2022</v>
      </c>
      <c r="B72" s="3" t="s">
        <v>9</v>
      </c>
      <c r="C72" s="4">
        <v>1257</v>
      </c>
      <c r="D72" s="30">
        <v>0</v>
      </c>
      <c r="E72" s="30">
        <v>0</v>
      </c>
      <c r="F72" s="31">
        <v>410</v>
      </c>
      <c r="G72" s="37">
        <v>217.5</v>
      </c>
      <c r="H72" s="39">
        <v>0</v>
      </c>
      <c r="I72" s="33">
        <v>937.5</v>
      </c>
      <c r="J72" s="53">
        <v>218</v>
      </c>
    </row>
    <row r="73" spans="1:10" ht="18.75" thickBot="1" x14ac:dyDescent="0.3">
      <c r="A73">
        <v>2022</v>
      </c>
      <c r="B73" s="5" t="s">
        <v>10</v>
      </c>
      <c r="D73" s="32">
        <v>12545</v>
      </c>
      <c r="E73" s="32">
        <v>78.245999999999995</v>
      </c>
      <c r="F73" s="32">
        <v>22823.5</v>
      </c>
      <c r="G73" s="38">
        <v>18500</v>
      </c>
      <c r="H73" s="40">
        <v>101</v>
      </c>
      <c r="I73" s="41">
        <v>85626.9</v>
      </c>
      <c r="J73" s="41">
        <v>2720</v>
      </c>
    </row>
    <row r="74" spans="1:10" ht="18.75" thickBot="1" x14ac:dyDescent="0.3">
      <c r="A74">
        <v>2023</v>
      </c>
      <c r="B74" s="3" t="s">
        <v>3</v>
      </c>
      <c r="C74" s="4">
        <v>1251</v>
      </c>
      <c r="D74" s="33">
        <v>0</v>
      </c>
      <c r="E74" s="30">
        <v>0</v>
      </c>
      <c r="F74" s="30">
        <v>0</v>
      </c>
      <c r="G74" s="37">
        <v>0</v>
      </c>
      <c r="H74" s="33">
        <v>0</v>
      </c>
      <c r="I74" s="33">
        <v>0</v>
      </c>
      <c r="J74" s="33">
        <v>0</v>
      </c>
    </row>
    <row r="75" spans="1:10" ht="18.75" thickBot="1" x14ac:dyDescent="0.3">
      <c r="A75">
        <v>2023</v>
      </c>
      <c r="B75" s="3" t="s">
        <v>4</v>
      </c>
      <c r="C75" s="4">
        <v>1252</v>
      </c>
      <c r="D75" s="34">
        <f>[1]خضروات!$D$86</f>
        <v>141.69999999999999</v>
      </c>
      <c r="E75" s="31">
        <v>0</v>
      </c>
      <c r="F75" s="31">
        <v>1450</v>
      </c>
      <c r="G75" s="37">
        <v>0</v>
      </c>
      <c r="H75" s="33">
        <v>0</v>
      </c>
      <c r="I75" s="33">
        <v>1116</v>
      </c>
      <c r="J75" s="34">
        <v>53</v>
      </c>
    </row>
    <row r="76" spans="1:10" ht="18.75" thickBot="1" x14ac:dyDescent="0.3">
      <c r="A76">
        <v>2023</v>
      </c>
      <c r="B76" s="3" t="s">
        <v>5</v>
      </c>
      <c r="C76" s="4">
        <v>1253</v>
      </c>
      <c r="D76" s="34">
        <f>[1]خضروات!$G$86</f>
        <v>1361.8</v>
      </c>
      <c r="E76" s="30">
        <v>0</v>
      </c>
      <c r="F76" s="31">
        <v>556</v>
      </c>
      <c r="G76" s="34">
        <v>792.5</v>
      </c>
      <c r="H76" s="33">
        <v>0</v>
      </c>
      <c r="I76" s="42">
        <v>6883.25</v>
      </c>
      <c r="J76" s="34">
        <v>162</v>
      </c>
    </row>
    <row r="77" spans="1:10" ht="18.75" thickBot="1" x14ac:dyDescent="0.3">
      <c r="A77">
        <v>2023</v>
      </c>
      <c r="B77" s="3" t="s">
        <v>6</v>
      </c>
      <c r="C77" s="4">
        <v>1254</v>
      </c>
      <c r="D77" s="34">
        <f>[1]خضروات!$J$86</f>
        <v>1527.5</v>
      </c>
      <c r="E77" s="30">
        <v>0</v>
      </c>
      <c r="F77" s="36">
        <v>1065.5</v>
      </c>
      <c r="G77" s="34">
        <v>9626.2999999999993</v>
      </c>
      <c r="H77" s="33">
        <v>10.5</v>
      </c>
      <c r="I77" s="39">
        <v>32360.6</v>
      </c>
      <c r="J77" s="34">
        <v>190</v>
      </c>
    </row>
    <row r="78" spans="1:10" ht="18.75" thickBot="1" x14ac:dyDescent="0.3">
      <c r="A78">
        <v>2023</v>
      </c>
      <c r="B78" s="3" t="s">
        <v>7</v>
      </c>
      <c r="C78" s="4">
        <v>1255</v>
      </c>
      <c r="D78" s="33">
        <f>[1]خضروات!$P$86</f>
        <v>3341.75</v>
      </c>
      <c r="E78" s="35">
        <v>0</v>
      </c>
      <c r="F78" s="31">
        <v>12318</v>
      </c>
      <c r="G78" s="39">
        <v>2106.1999999999998</v>
      </c>
      <c r="H78" s="33">
        <v>0</v>
      </c>
      <c r="I78" s="39">
        <v>4919.2</v>
      </c>
      <c r="J78" s="34">
        <v>1375</v>
      </c>
    </row>
    <row r="79" spans="1:10" ht="18.75" thickBot="1" x14ac:dyDescent="0.3">
      <c r="A79">
        <v>2023</v>
      </c>
      <c r="B79" s="3" t="s">
        <v>8</v>
      </c>
      <c r="C79" s="4">
        <v>1256</v>
      </c>
      <c r="D79" s="33">
        <v>0</v>
      </c>
      <c r="E79" s="30">
        <v>83.7</v>
      </c>
      <c r="F79" s="30">
        <v>0</v>
      </c>
      <c r="G79" s="37">
        <v>0</v>
      </c>
      <c r="H79" s="33">
        <v>0</v>
      </c>
      <c r="I79" s="33">
        <v>0</v>
      </c>
      <c r="J79" s="33">
        <v>0</v>
      </c>
    </row>
    <row r="80" spans="1:10" ht="18.75" thickBot="1" x14ac:dyDescent="0.3">
      <c r="A80">
        <v>2023</v>
      </c>
      <c r="B80" s="3" t="s">
        <v>9</v>
      </c>
      <c r="C80" s="4">
        <v>1257</v>
      </c>
      <c r="D80" s="33">
        <v>0</v>
      </c>
      <c r="E80" s="30">
        <v>0</v>
      </c>
      <c r="F80" s="31">
        <v>179</v>
      </c>
      <c r="G80" s="37">
        <v>75</v>
      </c>
      <c r="H80" s="33">
        <v>0</v>
      </c>
      <c r="I80" s="33">
        <v>575</v>
      </c>
      <c r="J80" s="34">
        <v>195</v>
      </c>
    </row>
    <row r="81" spans="1:10" ht="18.75" thickBot="1" x14ac:dyDescent="0.3">
      <c r="A81">
        <v>2023</v>
      </c>
      <c r="B81" s="5" t="s">
        <v>10</v>
      </c>
      <c r="D81" s="32">
        <v>6372.75</v>
      </c>
      <c r="E81" s="32">
        <v>84</v>
      </c>
      <c r="F81" s="32">
        <v>15568.5</v>
      </c>
      <c r="G81" s="38">
        <v>12600</v>
      </c>
      <c r="H81" s="40">
        <v>10.5</v>
      </c>
      <c r="I81" s="41">
        <v>45854.049999999996</v>
      </c>
      <c r="J81" s="41">
        <v>1975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2025-03-06T11:52:39Z</dcterms:modified>
</cp:coreProperties>
</file>