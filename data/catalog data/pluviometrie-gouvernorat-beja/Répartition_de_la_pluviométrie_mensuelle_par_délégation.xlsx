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7" i="1" l="1"/>
  <c r="N77" i="1"/>
  <c r="M77" i="1"/>
  <c r="L77" i="1"/>
  <c r="K77" i="1"/>
  <c r="J77" i="1"/>
  <c r="I77" i="1"/>
  <c r="H77" i="1"/>
  <c r="G77" i="1"/>
  <c r="F77" i="1"/>
  <c r="E77" i="1"/>
  <c r="D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O58" i="1" l="1"/>
  <c r="N58" i="1"/>
  <c r="M58" i="1"/>
  <c r="L58" i="1"/>
  <c r="K58" i="1"/>
  <c r="J58" i="1"/>
  <c r="I58" i="1"/>
  <c r="H58" i="1"/>
  <c r="G58" i="1"/>
  <c r="F58" i="1"/>
  <c r="E58" i="1"/>
  <c r="D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O39" i="1"/>
  <c r="N39" i="1"/>
  <c r="M39" i="1"/>
  <c r="L39" i="1"/>
  <c r="K39" i="1"/>
  <c r="J39" i="1"/>
  <c r="I39" i="1"/>
  <c r="H39" i="1"/>
  <c r="G39" i="1"/>
  <c r="F39" i="1"/>
  <c r="E39" i="1"/>
  <c r="D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O20" i="1"/>
  <c r="N20" i="1"/>
  <c r="M20" i="1"/>
  <c r="L20" i="1"/>
  <c r="K20" i="1"/>
  <c r="J20" i="1"/>
  <c r="I20" i="1"/>
  <c r="H20" i="1"/>
  <c r="G20" i="1"/>
  <c r="F20" i="1"/>
  <c r="E20" i="1"/>
  <c r="D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<sst xmlns="http://schemas.openxmlformats.org/spreadsheetml/2006/main" count="168" uniqueCount="37">
  <si>
    <t>المجموع</t>
  </si>
  <si>
    <t>باجة الشمالية</t>
  </si>
  <si>
    <t>المعدل</t>
  </si>
  <si>
    <t>Béja nord</t>
  </si>
  <si>
    <t>الشهر</t>
  </si>
  <si>
    <t>باجة الجنوبية</t>
  </si>
  <si>
    <t>Béja sud</t>
  </si>
  <si>
    <t>عمدون</t>
  </si>
  <si>
    <t>Amdoun</t>
  </si>
  <si>
    <t>نفزة</t>
  </si>
  <si>
    <t>Nefza</t>
  </si>
  <si>
    <t>تبرسق</t>
  </si>
  <si>
    <t>téboursouk</t>
  </si>
  <si>
    <t>مجاز الباب</t>
  </si>
  <si>
    <t>Medjez</t>
  </si>
  <si>
    <t>تستور</t>
  </si>
  <si>
    <t>Testour</t>
  </si>
  <si>
    <t>قبلاط</t>
  </si>
  <si>
    <t>Goubellat</t>
  </si>
  <si>
    <t>تيبار</t>
  </si>
  <si>
    <t>Thibar</t>
  </si>
  <si>
    <t>Année</t>
  </si>
  <si>
    <t>Station</t>
  </si>
  <si>
    <t>Moyenne/Mois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</si>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</sst>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0" borderId="6" xfId="0" applyFont="1" applyBorder="1"/>
    <xf numFmtId="0" fontId="3" fillId="2" borderId="6" xfId="0" applyFont="1" applyFill="1" applyBorder="1" applyAlignment="1">
      <alignment horizontal="center"/>
    </xf>
    <xf numFmtId="0" fontId="3" fillId="2" borderId="9" xfId="0" applyFont="1" applyFill="1" applyBorder="1"/>
    <xf numFmtId="0" fontId="3" fillId="0" borderId="10" xfId="0" applyFont="1" applyBorder="1"/>
    <xf numFmtId="0" fontId="3" fillId="2" borderId="10" xfId="0" applyFont="1" applyFill="1" applyBorder="1"/>
    <xf numFmtId="0" fontId="3" fillId="0" borderId="11" xfId="0" applyFont="1" applyBorder="1"/>
    <xf numFmtId="0" fontId="3" fillId="0" borderId="1" xfId="0" applyFont="1" applyBorder="1" applyAlignment="1"/>
    <xf numFmtId="0" fontId="1" fillId="0" borderId="8" xfId="0" applyFont="1" applyBorder="1" applyAlignment="1">
      <alignment horizontal="center" vertical="center"/>
    </xf>
    <xf numFmtId="0" fontId="3" fillId="0" borderId="10" xfId="0" applyFont="1" applyFill="1" applyBorder="1"/>
    <xf numFmtId="0" fontId="3" fillId="0" borderId="11" xfId="0" applyFont="1" applyFill="1" applyBorder="1"/>
    <xf numFmtId="0" fontId="3" fillId="0" borderId="6" xfId="0" applyFont="1" applyFill="1" applyBorder="1" applyAlignment="1">
      <alignment horizontal="center"/>
    </xf>
    <xf numFmtId="0" fontId="3" fillId="0" borderId="9" xfId="0" applyFont="1" applyFill="1" applyBorder="1"/>
    <xf numFmtId="0" fontId="3" fillId="2" borderId="12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16" xfId="0" applyFont="1" applyFill="1" applyBorder="1" applyAlignment="1">
      <alignment horizontal="center"/>
    </xf>
    <xf numFmtId="0" fontId="3" fillId="2" borderId="14" xfId="0" applyFont="1" applyFill="1" applyBorder="1"/>
    <xf numFmtId="0" fontId="1" fillId="0" borderId="17" xfId="0" applyFont="1" applyBorder="1"/>
    <xf numFmtId="0" fontId="3" fillId="2" borderId="18" xfId="0" applyFont="1" applyFill="1" applyBorder="1" applyAlignment="1">
      <alignment horizontal="center"/>
    </xf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" fillId="0" borderId="3" xfId="0" applyFont="1" applyBorder="1"/>
    <xf numFmtId="0" fontId="3" fillId="0" borderId="3" xfId="0" applyFont="1" applyBorder="1" applyAlignment="1"/>
    <xf numFmtId="0" fontId="3" fillId="0" borderId="1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tabSelected="1" workbookViewId="0">
      <selection activeCell="F74" sqref="F74"/>
    </sheetView>
  </sheetViews>
  <sheetFormatPr baseColWidth="10" defaultColWidth="9.140625" defaultRowHeight="15" x14ac:dyDescent="0.25"/>
  <cols>
    <col min="2" max="2" width="15.28515625" customWidth="1"/>
    <col min="3" max="3" width="27.85546875" customWidth="1"/>
    <col min="4" max="16" width="14.42578125" customWidth="1"/>
  </cols>
  <sheetData>
    <row r="1" spans="1:16" ht="16.5" thickBot="1" x14ac:dyDescent="0.3">
      <c r="A1" s="13" t="s">
        <v>21</v>
      </c>
      <c r="B1" s="13" t="s">
        <v>22</v>
      </c>
      <c r="C1" s="14" t="s">
        <v>23</v>
      </c>
      <c r="D1" s="15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7" t="s">
        <v>31</v>
      </c>
      <c r="L1" s="17" t="s">
        <v>32</v>
      </c>
      <c r="M1" s="17" t="s">
        <v>33</v>
      </c>
      <c r="N1" s="17" t="s">
        <v>34</v>
      </c>
      <c r="O1" s="18" t="s">
        <v>35</v>
      </c>
      <c r="P1" s="19" t="s">
        <v>36</v>
      </c>
    </row>
    <row r="2" spans="1:16" ht="15.75" x14ac:dyDescent="0.25">
      <c r="A2" s="20">
        <v>2020</v>
      </c>
      <c r="B2" s="21" t="s">
        <v>1</v>
      </c>
      <c r="C2" s="22" t="s">
        <v>2</v>
      </c>
      <c r="D2" s="1">
        <v>38</v>
      </c>
      <c r="E2" s="1">
        <v>66</v>
      </c>
      <c r="F2" s="1">
        <v>68</v>
      </c>
      <c r="G2" s="1">
        <v>98</v>
      </c>
      <c r="H2" s="1">
        <v>105</v>
      </c>
      <c r="I2" s="1">
        <v>83</v>
      </c>
      <c r="J2" s="1">
        <v>64</v>
      </c>
      <c r="K2" s="1">
        <v>54</v>
      </c>
      <c r="L2" s="1">
        <v>31</v>
      </c>
      <c r="M2" s="1">
        <v>15</v>
      </c>
      <c r="N2" s="1">
        <v>4.2</v>
      </c>
      <c r="O2" s="1">
        <v>7.8</v>
      </c>
      <c r="P2" s="2">
        <f>SUM(D2:O2)</f>
        <v>634</v>
      </c>
    </row>
    <row r="3" spans="1:16" ht="15.75" x14ac:dyDescent="0.25">
      <c r="A3" s="20">
        <v>2020</v>
      </c>
      <c r="B3" s="13" t="s">
        <v>3</v>
      </c>
      <c r="C3" s="23" t="s">
        <v>4</v>
      </c>
      <c r="D3" s="1">
        <v>61.8</v>
      </c>
      <c r="E3" s="1">
        <v>37.799999999999997</v>
      </c>
      <c r="F3" s="1">
        <v>71</v>
      </c>
      <c r="G3" s="1">
        <v>72.8</v>
      </c>
      <c r="H3" s="1">
        <v>19.600000000000001</v>
      </c>
      <c r="I3" s="1">
        <v>1</v>
      </c>
      <c r="J3" s="1">
        <v>105.4</v>
      </c>
      <c r="K3" s="1">
        <v>85.3</v>
      </c>
      <c r="L3" s="1">
        <v>0.8</v>
      </c>
      <c r="M3" s="1">
        <v>3.8</v>
      </c>
      <c r="N3" s="1">
        <v>1</v>
      </c>
      <c r="O3" s="1">
        <v>1</v>
      </c>
      <c r="P3" s="2">
        <f t="shared" ref="P3:P19" si="0">SUM(D3:O3)</f>
        <v>461.3</v>
      </c>
    </row>
    <row r="4" spans="1:16" ht="15.75" x14ac:dyDescent="0.25">
      <c r="A4" s="20">
        <v>2020</v>
      </c>
      <c r="B4" s="21" t="s">
        <v>5</v>
      </c>
      <c r="C4" s="24" t="s">
        <v>2</v>
      </c>
      <c r="D4" s="1">
        <v>35.799999999999997</v>
      </c>
      <c r="E4" s="1">
        <v>35.5</v>
      </c>
      <c r="F4" s="1">
        <v>54.4</v>
      </c>
      <c r="G4" s="1">
        <v>70.3</v>
      </c>
      <c r="H4" s="1">
        <v>76</v>
      </c>
      <c r="I4" s="1">
        <v>59.8</v>
      </c>
      <c r="J4" s="1">
        <v>39.299999999999997</v>
      </c>
      <c r="K4" s="1">
        <v>45</v>
      </c>
      <c r="L4" s="1">
        <v>28.8</v>
      </c>
      <c r="M4" s="1">
        <v>16.3</v>
      </c>
      <c r="N4" s="1">
        <v>4.7</v>
      </c>
      <c r="O4" s="1">
        <v>11.6</v>
      </c>
      <c r="P4" s="2">
        <f t="shared" si="0"/>
        <v>477.50000000000006</v>
      </c>
    </row>
    <row r="5" spans="1:16" ht="15.75" x14ac:dyDescent="0.25">
      <c r="A5" s="20">
        <v>2020</v>
      </c>
      <c r="B5" s="13" t="s">
        <v>6</v>
      </c>
      <c r="C5" s="23" t="s">
        <v>4</v>
      </c>
      <c r="D5" s="1">
        <v>57</v>
      </c>
      <c r="E5" s="1">
        <v>19.5</v>
      </c>
      <c r="F5" s="1">
        <v>42.5</v>
      </c>
      <c r="G5" s="1">
        <v>42</v>
      </c>
      <c r="H5" s="1">
        <v>15</v>
      </c>
      <c r="I5" s="1"/>
      <c r="J5" s="1">
        <v>58.6</v>
      </c>
      <c r="K5" s="1">
        <v>52.5</v>
      </c>
      <c r="L5" s="1"/>
      <c r="M5" s="1">
        <v>1.5</v>
      </c>
      <c r="N5" s="1"/>
      <c r="O5" s="1">
        <v>3</v>
      </c>
      <c r="P5" s="2">
        <f t="shared" si="0"/>
        <v>291.60000000000002</v>
      </c>
    </row>
    <row r="6" spans="1:16" ht="15.75" x14ac:dyDescent="0.25">
      <c r="A6" s="20">
        <v>2020</v>
      </c>
      <c r="B6" s="21" t="s">
        <v>7</v>
      </c>
      <c r="C6" s="24" t="s">
        <v>2</v>
      </c>
      <c r="D6" s="1">
        <v>36</v>
      </c>
      <c r="E6" s="1">
        <v>66</v>
      </c>
      <c r="F6" s="1">
        <v>92</v>
      </c>
      <c r="G6" s="1">
        <v>101</v>
      </c>
      <c r="H6" s="1">
        <v>94</v>
      </c>
      <c r="I6" s="1">
        <v>75</v>
      </c>
      <c r="J6" s="1">
        <v>83</v>
      </c>
      <c r="K6" s="1">
        <v>51</v>
      </c>
      <c r="L6" s="1">
        <v>26</v>
      </c>
      <c r="M6" s="1">
        <v>8</v>
      </c>
      <c r="N6" s="1">
        <v>4</v>
      </c>
      <c r="O6" s="1">
        <v>4</v>
      </c>
      <c r="P6" s="2">
        <f t="shared" si="0"/>
        <v>640</v>
      </c>
    </row>
    <row r="7" spans="1:16" ht="15.75" x14ac:dyDescent="0.25">
      <c r="A7" s="20">
        <v>2020</v>
      </c>
      <c r="B7" s="13" t="s">
        <v>8</v>
      </c>
      <c r="C7" s="23" t="s">
        <v>4</v>
      </c>
      <c r="D7" s="1">
        <v>55</v>
      </c>
      <c r="E7" s="1">
        <v>32</v>
      </c>
      <c r="F7" s="1">
        <v>90.5</v>
      </c>
      <c r="G7" s="1">
        <v>62</v>
      </c>
      <c r="H7" s="1">
        <v>45</v>
      </c>
      <c r="I7" s="1"/>
      <c r="J7" s="1">
        <v>125</v>
      </c>
      <c r="K7" s="1">
        <v>86</v>
      </c>
      <c r="L7" s="1"/>
      <c r="M7" s="1"/>
      <c r="N7" s="1">
        <v>2</v>
      </c>
      <c r="O7" s="1"/>
      <c r="P7" s="2">
        <f t="shared" si="0"/>
        <v>497.5</v>
      </c>
    </row>
    <row r="8" spans="1:16" ht="15.75" x14ac:dyDescent="0.25">
      <c r="A8" s="20">
        <v>2020</v>
      </c>
      <c r="B8" s="21" t="s">
        <v>9</v>
      </c>
      <c r="C8" s="24" t="s">
        <v>2</v>
      </c>
      <c r="D8" s="1">
        <v>37</v>
      </c>
      <c r="E8" s="1">
        <v>112</v>
      </c>
      <c r="F8" s="1">
        <v>148</v>
      </c>
      <c r="G8" s="1">
        <v>146</v>
      </c>
      <c r="H8" s="1">
        <v>126</v>
      </c>
      <c r="I8" s="1">
        <v>116</v>
      </c>
      <c r="J8" s="1">
        <v>97</v>
      </c>
      <c r="K8" s="1">
        <v>75</v>
      </c>
      <c r="L8" s="1">
        <v>31</v>
      </c>
      <c r="M8" s="1">
        <v>8.5</v>
      </c>
      <c r="N8" s="1">
        <v>2.6</v>
      </c>
      <c r="O8" s="1">
        <v>7</v>
      </c>
      <c r="P8" s="2">
        <f t="shared" si="0"/>
        <v>906.1</v>
      </c>
    </row>
    <row r="9" spans="1:16" ht="15.75" x14ac:dyDescent="0.25">
      <c r="A9" s="20">
        <v>2020</v>
      </c>
      <c r="B9" s="13" t="s">
        <v>10</v>
      </c>
      <c r="C9" s="23" t="s">
        <v>4</v>
      </c>
      <c r="D9" s="1">
        <v>118</v>
      </c>
      <c r="E9" s="1">
        <v>86</v>
      </c>
      <c r="F9" s="1">
        <v>207</v>
      </c>
      <c r="G9" s="1">
        <v>87.5</v>
      </c>
      <c r="H9" s="1">
        <v>36</v>
      </c>
      <c r="I9" s="1">
        <v>3</v>
      </c>
      <c r="J9" s="1">
        <v>127</v>
      </c>
      <c r="K9" s="1">
        <v>65</v>
      </c>
      <c r="L9" s="1"/>
      <c r="M9" s="1">
        <v>3</v>
      </c>
      <c r="N9" s="1">
        <v>4</v>
      </c>
      <c r="O9" s="1"/>
      <c r="P9" s="2">
        <f t="shared" si="0"/>
        <v>736.5</v>
      </c>
    </row>
    <row r="10" spans="1:16" ht="15.75" x14ac:dyDescent="0.25">
      <c r="A10" s="20">
        <v>2020</v>
      </c>
      <c r="B10" s="21" t="s">
        <v>11</v>
      </c>
      <c r="C10" s="24" t="s">
        <v>2</v>
      </c>
      <c r="D10" s="1">
        <v>37</v>
      </c>
      <c r="E10" s="1">
        <v>63</v>
      </c>
      <c r="F10" s="1">
        <v>60</v>
      </c>
      <c r="G10" s="1">
        <v>72</v>
      </c>
      <c r="H10" s="1">
        <v>75</v>
      </c>
      <c r="I10" s="1">
        <v>63</v>
      </c>
      <c r="J10" s="1">
        <v>65</v>
      </c>
      <c r="K10" s="1">
        <v>59</v>
      </c>
      <c r="L10" s="1">
        <v>33</v>
      </c>
      <c r="M10" s="1">
        <v>22</v>
      </c>
      <c r="N10" s="1">
        <v>7.1</v>
      </c>
      <c r="O10" s="1">
        <v>12</v>
      </c>
      <c r="P10" s="2">
        <f t="shared" si="0"/>
        <v>568.1</v>
      </c>
    </row>
    <row r="11" spans="1:16" ht="15.75" x14ac:dyDescent="0.25">
      <c r="A11" s="20">
        <v>2020</v>
      </c>
      <c r="B11" s="13" t="s">
        <v>12</v>
      </c>
      <c r="C11" s="23" t="s">
        <v>4</v>
      </c>
      <c r="D11" s="1">
        <v>114</v>
      </c>
      <c r="E11" s="1">
        <v>25</v>
      </c>
      <c r="F11" s="1">
        <v>34</v>
      </c>
      <c r="G11" s="1">
        <v>39</v>
      </c>
      <c r="H11" s="1">
        <v>14</v>
      </c>
      <c r="I11" s="1">
        <v>6</v>
      </c>
      <c r="J11" s="1">
        <v>73</v>
      </c>
      <c r="K11" s="1">
        <v>77</v>
      </c>
      <c r="L11" s="1"/>
      <c r="M11" s="1"/>
      <c r="N11" s="1">
        <v>2</v>
      </c>
      <c r="O11" s="1"/>
      <c r="P11" s="2">
        <f t="shared" si="0"/>
        <v>384</v>
      </c>
    </row>
    <row r="12" spans="1:16" ht="15.75" x14ac:dyDescent="0.25">
      <c r="A12" s="20">
        <v>2020</v>
      </c>
      <c r="B12" s="21" t="s">
        <v>13</v>
      </c>
      <c r="C12" s="24" t="s">
        <v>2</v>
      </c>
      <c r="D12" s="1">
        <v>41</v>
      </c>
      <c r="E12" s="1">
        <v>52</v>
      </c>
      <c r="F12" s="1">
        <v>43</v>
      </c>
      <c r="G12" s="1">
        <v>48</v>
      </c>
      <c r="H12" s="1">
        <v>52</v>
      </c>
      <c r="I12" s="1">
        <v>57</v>
      </c>
      <c r="J12" s="1">
        <v>44</v>
      </c>
      <c r="K12" s="1">
        <v>35</v>
      </c>
      <c r="L12" s="1">
        <v>23</v>
      </c>
      <c r="M12" s="1">
        <v>14</v>
      </c>
      <c r="N12" s="1">
        <v>3.9</v>
      </c>
      <c r="O12" s="1">
        <v>8.9</v>
      </c>
      <c r="P12" s="2">
        <f t="shared" si="0"/>
        <v>421.79999999999995</v>
      </c>
    </row>
    <row r="13" spans="1:16" ht="15.75" x14ac:dyDescent="0.25">
      <c r="A13" s="20">
        <v>2020</v>
      </c>
      <c r="B13" s="13" t="s">
        <v>14</v>
      </c>
      <c r="C13" s="23" t="s">
        <v>4</v>
      </c>
      <c r="D13" s="1">
        <v>41.5</v>
      </c>
      <c r="E13" s="1">
        <v>11</v>
      </c>
      <c r="F13" s="1">
        <v>25</v>
      </c>
      <c r="G13" s="1">
        <v>38</v>
      </c>
      <c r="H13" s="1">
        <v>18</v>
      </c>
      <c r="I13" s="1">
        <v>5</v>
      </c>
      <c r="J13" s="1">
        <v>71.5</v>
      </c>
      <c r="K13" s="1">
        <v>59.5</v>
      </c>
      <c r="L13" s="1"/>
      <c r="M13" s="1"/>
      <c r="N13" s="1">
        <v>0.5</v>
      </c>
      <c r="O13" s="1">
        <v>3</v>
      </c>
      <c r="P13" s="2">
        <f t="shared" si="0"/>
        <v>273</v>
      </c>
    </row>
    <row r="14" spans="1:16" ht="15.75" x14ac:dyDescent="0.25">
      <c r="A14" s="20">
        <v>2020</v>
      </c>
      <c r="B14" s="21" t="s">
        <v>15</v>
      </c>
      <c r="C14" s="24" t="s">
        <v>2</v>
      </c>
      <c r="D14" s="1">
        <v>26</v>
      </c>
      <c r="E14" s="1">
        <v>53</v>
      </c>
      <c r="F14" s="1">
        <v>55</v>
      </c>
      <c r="G14" s="1">
        <v>45</v>
      </c>
      <c r="H14" s="1">
        <v>57</v>
      </c>
      <c r="I14" s="1">
        <v>45</v>
      </c>
      <c r="J14" s="1">
        <v>53</v>
      </c>
      <c r="K14" s="1">
        <v>38</v>
      </c>
      <c r="L14" s="1">
        <v>24</v>
      </c>
      <c r="M14" s="1">
        <v>7</v>
      </c>
      <c r="N14" s="1">
        <v>7</v>
      </c>
      <c r="O14" s="1">
        <v>6</v>
      </c>
      <c r="P14" s="2">
        <f t="shared" si="0"/>
        <v>416</v>
      </c>
    </row>
    <row r="15" spans="1:16" ht="15.75" x14ac:dyDescent="0.25">
      <c r="A15" s="20">
        <v>2020</v>
      </c>
      <c r="B15" s="13" t="s">
        <v>16</v>
      </c>
      <c r="C15" s="23" t="s">
        <v>4</v>
      </c>
      <c r="D15" s="1">
        <v>97.5</v>
      </c>
      <c r="E15" s="1">
        <v>20</v>
      </c>
      <c r="F15" s="1">
        <v>25</v>
      </c>
      <c r="G15" s="1">
        <v>32.5</v>
      </c>
      <c r="H15" s="1">
        <v>11</v>
      </c>
      <c r="I15" s="1">
        <v>5</v>
      </c>
      <c r="J15" s="1">
        <v>58</v>
      </c>
      <c r="K15" s="1">
        <v>87.5</v>
      </c>
      <c r="L15" s="1"/>
      <c r="M15" s="1"/>
      <c r="N15" s="1">
        <v>3</v>
      </c>
      <c r="O15" s="1"/>
      <c r="P15" s="2">
        <f t="shared" si="0"/>
        <v>339.5</v>
      </c>
    </row>
    <row r="16" spans="1:16" ht="15.75" x14ac:dyDescent="0.25">
      <c r="A16" s="20">
        <v>2020</v>
      </c>
      <c r="B16" s="21" t="s">
        <v>17</v>
      </c>
      <c r="C16" s="24" t="s">
        <v>2</v>
      </c>
      <c r="D16" s="1">
        <v>24</v>
      </c>
      <c r="E16" s="1">
        <v>56</v>
      </c>
      <c r="F16" s="1">
        <v>47</v>
      </c>
      <c r="G16" s="1">
        <v>41</v>
      </c>
      <c r="H16" s="1">
        <v>51</v>
      </c>
      <c r="I16" s="1">
        <v>45</v>
      </c>
      <c r="J16" s="1">
        <v>50</v>
      </c>
      <c r="K16" s="1">
        <v>32</v>
      </c>
      <c r="L16" s="1">
        <v>24</v>
      </c>
      <c r="M16" s="1">
        <v>8</v>
      </c>
      <c r="N16" s="1">
        <v>5</v>
      </c>
      <c r="O16" s="1">
        <v>3</v>
      </c>
      <c r="P16" s="2">
        <f t="shared" si="0"/>
        <v>386</v>
      </c>
    </row>
    <row r="17" spans="1:16" ht="15.75" x14ac:dyDescent="0.25">
      <c r="A17" s="20">
        <v>2020</v>
      </c>
      <c r="B17" s="13" t="s">
        <v>18</v>
      </c>
      <c r="C17" s="23" t="s">
        <v>4</v>
      </c>
      <c r="D17" s="1">
        <v>64.5</v>
      </c>
      <c r="E17" s="1">
        <v>21.5</v>
      </c>
      <c r="F17" s="1">
        <v>22.5</v>
      </c>
      <c r="G17" s="1">
        <v>53</v>
      </c>
      <c r="H17" s="1">
        <v>10.5</v>
      </c>
      <c r="I17" s="1">
        <v>10.199999999999999</v>
      </c>
      <c r="J17" s="1">
        <v>69.7</v>
      </c>
      <c r="K17" s="1">
        <v>70.5</v>
      </c>
      <c r="L17" s="1"/>
      <c r="M17" s="1"/>
      <c r="N17" s="1"/>
      <c r="O17" s="1"/>
      <c r="P17" s="2">
        <f t="shared" si="0"/>
        <v>322.39999999999998</v>
      </c>
    </row>
    <row r="18" spans="1:16" ht="15.75" x14ac:dyDescent="0.25">
      <c r="A18" s="20">
        <v>2020</v>
      </c>
      <c r="B18" s="21" t="s">
        <v>19</v>
      </c>
      <c r="C18" s="24" t="s">
        <v>2</v>
      </c>
      <c r="D18" s="1">
        <v>37</v>
      </c>
      <c r="E18" s="1">
        <v>53</v>
      </c>
      <c r="F18" s="1">
        <v>63</v>
      </c>
      <c r="G18" s="1">
        <v>93</v>
      </c>
      <c r="H18" s="1">
        <v>86</v>
      </c>
      <c r="I18" s="1">
        <v>74</v>
      </c>
      <c r="J18" s="1">
        <v>68</v>
      </c>
      <c r="K18" s="1">
        <v>56</v>
      </c>
      <c r="L18" s="1">
        <v>40</v>
      </c>
      <c r="M18" s="1">
        <v>29</v>
      </c>
      <c r="N18" s="1">
        <v>5</v>
      </c>
      <c r="O18" s="1">
        <v>7</v>
      </c>
      <c r="P18" s="2">
        <f t="shared" si="0"/>
        <v>611</v>
      </c>
    </row>
    <row r="19" spans="1:16" ht="16.5" thickBot="1" x14ac:dyDescent="0.3">
      <c r="A19" s="39">
        <v>2020</v>
      </c>
      <c r="B19" s="40" t="s">
        <v>20</v>
      </c>
      <c r="C19" s="25" t="s">
        <v>4</v>
      </c>
      <c r="D19" s="3">
        <v>59.5</v>
      </c>
      <c r="E19" s="3">
        <v>45.5</v>
      </c>
      <c r="F19" s="3">
        <v>55.5</v>
      </c>
      <c r="G19" s="3">
        <v>54.5</v>
      </c>
      <c r="H19" s="3">
        <v>19.5</v>
      </c>
      <c r="I19" s="3">
        <v>1</v>
      </c>
      <c r="J19" s="3">
        <v>84</v>
      </c>
      <c r="K19" s="3">
        <v>72</v>
      </c>
      <c r="L19" s="3"/>
      <c r="M19" s="3">
        <v>6</v>
      </c>
      <c r="N19" s="3">
        <v>1</v>
      </c>
      <c r="O19" s="3">
        <v>24</v>
      </c>
      <c r="P19" s="4">
        <f t="shared" si="0"/>
        <v>422.5</v>
      </c>
    </row>
    <row r="20" spans="1:16" ht="16.5" thickBot="1" x14ac:dyDescent="0.3">
      <c r="A20" s="42">
        <v>2020</v>
      </c>
      <c r="B20" s="43" t="s">
        <v>0</v>
      </c>
      <c r="C20" s="26" t="s">
        <v>4</v>
      </c>
      <c r="D20" s="5">
        <f>D3+D5+D7+D9+D11+D13+D15+D17+D19</f>
        <v>668.8</v>
      </c>
      <c r="E20" s="5">
        <f t="shared" ref="E20:N20" si="1">E3+E5+E7+E9+E11+E13+E15+E17+E19</f>
        <v>298.3</v>
      </c>
      <c r="F20" s="5">
        <f t="shared" si="1"/>
        <v>573</v>
      </c>
      <c r="G20" s="5">
        <f t="shared" si="1"/>
        <v>481.3</v>
      </c>
      <c r="H20" s="5">
        <f t="shared" si="1"/>
        <v>188.6</v>
      </c>
      <c r="I20" s="5">
        <f t="shared" si="1"/>
        <v>31.2</v>
      </c>
      <c r="J20" s="5">
        <f t="shared" si="1"/>
        <v>772.2</v>
      </c>
      <c r="K20" s="5">
        <f t="shared" si="1"/>
        <v>655.29999999999995</v>
      </c>
      <c r="L20" s="5">
        <f t="shared" si="1"/>
        <v>0.8</v>
      </c>
      <c r="M20" s="5">
        <f t="shared" si="1"/>
        <v>14.3</v>
      </c>
      <c r="N20" s="5">
        <f t="shared" si="1"/>
        <v>13.5</v>
      </c>
      <c r="O20" s="5">
        <f>O3+O5+O7+O9+O11+O13+O15+O17+O19</f>
        <v>31</v>
      </c>
      <c r="P20" s="27"/>
    </row>
    <row r="21" spans="1:16" ht="15.75" x14ac:dyDescent="0.25">
      <c r="A21" s="37">
        <v>2021</v>
      </c>
      <c r="B21" s="41" t="s">
        <v>1</v>
      </c>
      <c r="C21" s="22" t="s">
        <v>2</v>
      </c>
      <c r="D21" s="1">
        <v>38</v>
      </c>
      <c r="E21" s="1">
        <v>66</v>
      </c>
      <c r="F21" s="1">
        <v>68</v>
      </c>
      <c r="G21" s="1">
        <v>98</v>
      </c>
      <c r="H21" s="1">
        <v>105</v>
      </c>
      <c r="I21" s="1">
        <v>83</v>
      </c>
      <c r="J21" s="1">
        <v>64</v>
      </c>
      <c r="K21" s="1">
        <v>54</v>
      </c>
      <c r="L21" s="1">
        <v>31</v>
      </c>
      <c r="M21" s="1">
        <v>15</v>
      </c>
      <c r="N21" s="1">
        <v>4.2</v>
      </c>
      <c r="O21" s="1">
        <v>7.8</v>
      </c>
      <c r="P21" s="2">
        <f>SUM(D21:O21)</f>
        <v>634</v>
      </c>
    </row>
    <row r="22" spans="1:16" ht="15.75" x14ac:dyDescent="0.25">
      <c r="A22" s="20">
        <v>2021</v>
      </c>
      <c r="B22" s="13" t="s">
        <v>3</v>
      </c>
      <c r="C22" s="23" t="s">
        <v>4</v>
      </c>
      <c r="D22" s="1">
        <v>39</v>
      </c>
      <c r="E22" s="1">
        <v>27.2</v>
      </c>
      <c r="F22" s="1">
        <v>55.6</v>
      </c>
      <c r="G22" s="1">
        <v>106.8</v>
      </c>
      <c r="H22" s="1">
        <v>40.200000000000003</v>
      </c>
      <c r="I22" s="1">
        <v>23.8</v>
      </c>
      <c r="J22" s="1">
        <v>96.5</v>
      </c>
      <c r="K22" s="1">
        <v>39.6</v>
      </c>
      <c r="L22" s="1">
        <v>24.1</v>
      </c>
      <c r="M22" s="1"/>
      <c r="N22" s="1"/>
      <c r="O22" s="1">
        <v>5.4</v>
      </c>
      <c r="P22" s="2">
        <f t="shared" ref="P22:P38" si="2">SUM(D22:O22)</f>
        <v>458.20000000000005</v>
      </c>
    </row>
    <row r="23" spans="1:16" ht="15.75" x14ac:dyDescent="0.25">
      <c r="A23" s="20">
        <v>2021</v>
      </c>
      <c r="B23" s="21" t="s">
        <v>5</v>
      </c>
      <c r="C23" s="24" t="s">
        <v>2</v>
      </c>
      <c r="D23" s="1">
        <v>35.799999999999997</v>
      </c>
      <c r="E23" s="1">
        <v>35.5</v>
      </c>
      <c r="F23" s="1">
        <v>54.4</v>
      </c>
      <c r="G23" s="1">
        <v>70.3</v>
      </c>
      <c r="H23" s="1">
        <v>76</v>
      </c>
      <c r="I23" s="1">
        <v>59.8</v>
      </c>
      <c r="J23" s="1">
        <v>39.299999999999997</v>
      </c>
      <c r="K23" s="1">
        <v>45</v>
      </c>
      <c r="L23" s="1">
        <v>28.8</v>
      </c>
      <c r="M23" s="1">
        <v>16.3</v>
      </c>
      <c r="N23" s="1">
        <v>4.7</v>
      </c>
      <c r="O23" s="1">
        <v>11.6</v>
      </c>
      <c r="P23" s="2">
        <f>SUM(D23:O23)</f>
        <v>477.50000000000006</v>
      </c>
    </row>
    <row r="24" spans="1:16" ht="15.75" x14ac:dyDescent="0.25">
      <c r="A24" s="20">
        <v>2021</v>
      </c>
      <c r="B24" s="13" t="s">
        <v>6</v>
      </c>
      <c r="C24" s="28" t="s">
        <v>4</v>
      </c>
      <c r="D24" s="6">
        <v>10.5</v>
      </c>
      <c r="E24" s="6">
        <v>17</v>
      </c>
      <c r="F24" s="6">
        <v>57.5</v>
      </c>
      <c r="G24" s="6">
        <v>71</v>
      </c>
      <c r="H24" s="6">
        <v>22</v>
      </c>
      <c r="I24" s="6">
        <v>6.5</v>
      </c>
      <c r="J24" s="6">
        <v>63</v>
      </c>
      <c r="K24" s="6">
        <v>28</v>
      </c>
      <c r="L24" s="6">
        <v>12.5</v>
      </c>
      <c r="M24" s="6"/>
      <c r="N24" s="6"/>
      <c r="O24" s="6">
        <v>8</v>
      </c>
      <c r="P24" s="7">
        <f t="shared" si="2"/>
        <v>296</v>
      </c>
    </row>
    <row r="25" spans="1:16" ht="15.75" x14ac:dyDescent="0.25">
      <c r="A25" s="20">
        <v>2021</v>
      </c>
      <c r="B25" s="21" t="s">
        <v>7</v>
      </c>
      <c r="C25" s="24" t="s">
        <v>2</v>
      </c>
      <c r="D25" s="1">
        <v>36</v>
      </c>
      <c r="E25" s="1">
        <v>66</v>
      </c>
      <c r="F25" s="1">
        <v>92</v>
      </c>
      <c r="G25" s="1">
        <v>101</v>
      </c>
      <c r="H25" s="1">
        <v>94</v>
      </c>
      <c r="I25" s="1">
        <v>75</v>
      </c>
      <c r="J25" s="1">
        <v>83</v>
      </c>
      <c r="K25" s="1">
        <v>51</v>
      </c>
      <c r="L25" s="1">
        <v>26</v>
      </c>
      <c r="M25" s="1">
        <v>8</v>
      </c>
      <c r="N25" s="1">
        <v>4</v>
      </c>
      <c r="O25" s="1">
        <v>4</v>
      </c>
      <c r="P25" s="2">
        <f t="shared" si="2"/>
        <v>640</v>
      </c>
    </row>
    <row r="26" spans="1:16" ht="15.75" x14ac:dyDescent="0.25">
      <c r="A26" s="20">
        <v>2021</v>
      </c>
      <c r="B26" s="13" t="s">
        <v>8</v>
      </c>
      <c r="C26" s="28" t="s">
        <v>4</v>
      </c>
      <c r="D26" s="6">
        <v>53</v>
      </c>
      <c r="E26" s="6">
        <v>26</v>
      </c>
      <c r="F26" s="6">
        <v>137</v>
      </c>
      <c r="G26" s="6">
        <v>83</v>
      </c>
      <c r="H26" s="6">
        <v>73</v>
      </c>
      <c r="I26" s="6">
        <v>9</v>
      </c>
      <c r="J26" s="6">
        <v>96.5</v>
      </c>
      <c r="K26" s="6">
        <v>48</v>
      </c>
      <c r="L26" s="6">
        <v>12</v>
      </c>
      <c r="M26" s="6"/>
      <c r="N26" s="6"/>
      <c r="O26" s="6"/>
      <c r="P26" s="7">
        <f t="shared" si="2"/>
        <v>537.5</v>
      </c>
    </row>
    <row r="27" spans="1:16" ht="15.75" x14ac:dyDescent="0.25">
      <c r="A27" s="20">
        <v>2021</v>
      </c>
      <c r="B27" s="21" t="s">
        <v>9</v>
      </c>
      <c r="C27" s="24" t="s">
        <v>2</v>
      </c>
      <c r="D27" s="1">
        <v>37</v>
      </c>
      <c r="E27" s="1">
        <v>112</v>
      </c>
      <c r="F27" s="1">
        <v>148</v>
      </c>
      <c r="G27" s="1">
        <v>146</v>
      </c>
      <c r="H27" s="1">
        <v>126</v>
      </c>
      <c r="I27" s="1">
        <v>116</v>
      </c>
      <c r="J27" s="1">
        <v>97</v>
      </c>
      <c r="K27" s="1">
        <v>75</v>
      </c>
      <c r="L27" s="1">
        <v>31</v>
      </c>
      <c r="M27" s="1">
        <v>8.5</v>
      </c>
      <c r="N27" s="1">
        <v>2.6</v>
      </c>
      <c r="O27" s="1">
        <v>7</v>
      </c>
      <c r="P27" s="2">
        <f t="shared" si="2"/>
        <v>906.1</v>
      </c>
    </row>
    <row r="28" spans="1:16" ht="15.75" x14ac:dyDescent="0.25">
      <c r="A28" s="20">
        <v>2021</v>
      </c>
      <c r="B28" s="13" t="s">
        <v>10</v>
      </c>
      <c r="C28" s="28" t="s">
        <v>4</v>
      </c>
      <c r="D28" s="6">
        <v>78</v>
      </c>
      <c r="E28" s="6">
        <v>72</v>
      </c>
      <c r="F28" s="6">
        <v>118.5</v>
      </c>
      <c r="G28" s="6">
        <v>228</v>
      </c>
      <c r="H28" s="6">
        <v>102</v>
      </c>
      <c r="I28" s="6">
        <v>23</v>
      </c>
      <c r="J28" s="6">
        <v>65</v>
      </c>
      <c r="K28" s="6">
        <v>58</v>
      </c>
      <c r="L28" s="6">
        <v>28</v>
      </c>
      <c r="M28" s="6"/>
      <c r="N28" s="6"/>
      <c r="O28" s="6">
        <v>2</v>
      </c>
      <c r="P28" s="7">
        <f t="shared" si="2"/>
        <v>774.5</v>
      </c>
    </row>
    <row r="29" spans="1:16" ht="15.75" x14ac:dyDescent="0.25">
      <c r="A29" s="20">
        <v>2021</v>
      </c>
      <c r="B29" s="21" t="s">
        <v>11</v>
      </c>
      <c r="C29" s="24" t="s">
        <v>2</v>
      </c>
      <c r="D29" s="1">
        <v>37</v>
      </c>
      <c r="E29" s="1">
        <v>63</v>
      </c>
      <c r="F29" s="1">
        <v>60</v>
      </c>
      <c r="G29" s="1">
        <v>72</v>
      </c>
      <c r="H29" s="1">
        <v>75</v>
      </c>
      <c r="I29" s="1">
        <v>63</v>
      </c>
      <c r="J29" s="1">
        <v>65</v>
      </c>
      <c r="K29" s="1">
        <v>59</v>
      </c>
      <c r="L29" s="1">
        <v>33</v>
      </c>
      <c r="M29" s="1">
        <v>22</v>
      </c>
      <c r="N29" s="1">
        <v>7.1</v>
      </c>
      <c r="O29" s="1">
        <v>12</v>
      </c>
      <c r="P29" s="2">
        <f t="shared" si="2"/>
        <v>568.1</v>
      </c>
    </row>
    <row r="30" spans="1:16" ht="15.75" x14ac:dyDescent="0.25">
      <c r="A30" s="20">
        <v>2021</v>
      </c>
      <c r="B30" s="13" t="s">
        <v>12</v>
      </c>
      <c r="C30" s="28" t="s">
        <v>4</v>
      </c>
      <c r="D30" s="6">
        <v>31</v>
      </c>
      <c r="E30" s="6">
        <v>17</v>
      </c>
      <c r="F30" s="6">
        <v>115</v>
      </c>
      <c r="G30" s="6">
        <v>113</v>
      </c>
      <c r="H30" s="6">
        <v>69</v>
      </c>
      <c r="I30" s="6">
        <v>46</v>
      </c>
      <c r="J30" s="6">
        <v>80</v>
      </c>
      <c r="K30" s="6">
        <v>76</v>
      </c>
      <c r="L30" s="6">
        <v>35</v>
      </c>
      <c r="M30" s="6"/>
      <c r="N30" s="6"/>
      <c r="O30" s="6"/>
      <c r="P30" s="7">
        <f t="shared" si="2"/>
        <v>582</v>
      </c>
    </row>
    <row r="31" spans="1:16" ht="15.75" x14ac:dyDescent="0.25">
      <c r="A31" s="20">
        <v>2021</v>
      </c>
      <c r="B31" s="21" t="s">
        <v>13</v>
      </c>
      <c r="C31" s="24" t="s">
        <v>2</v>
      </c>
      <c r="D31" s="1">
        <v>41</v>
      </c>
      <c r="E31" s="1">
        <v>52</v>
      </c>
      <c r="F31" s="1">
        <v>43</v>
      </c>
      <c r="G31" s="1">
        <v>48</v>
      </c>
      <c r="H31" s="1">
        <v>52</v>
      </c>
      <c r="I31" s="1">
        <v>57</v>
      </c>
      <c r="J31" s="1">
        <v>44</v>
      </c>
      <c r="K31" s="1">
        <v>35</v>
      </c>
      <c r="L31" s="1">
        <v>23</v>
      </c>
      <c r="M31" s="1">
        <v>14</v>
      </c>
      <c r="N31" s="1">
        <v>3.9</v>
      </c>
      <c r="O31" s="1">
        <v>8.9</v>
      </c>
      <c r="P31" s="2">
        <f t="shared" si="2"/>
        <v>421.79999999999995</v>
      </c>
    </row>
    <row r="32" spans="1:16" ht="15.75" x14ac:dyDescent="0.25">
      <c r="A32" s="20">
        <v>2021</v>
      </c>
      <c r="B32" s="13" t="s">
        <v>14</v>
      </c>
      <c r="C32" s="28" t="s">
        <v>4</v>
      </c>
      <c r="D32" s="6">
        <v>20.5</v>
      </c>
      <c r="E32" s="6">
        <v>15.5</v>
      </c>
      <c r="F32" s="6">
        <v>73.5</v>
      </c>
      <c r="G32" s="6">
        <v>84.5</v>
      </c>
      <c r="H32" s="6">
        <v>21.5</v>
      </c>
      <c r="I32" s="6">
        <v>11</v>
      </c>
      <c r="J32" s="6">
        <v>67.5</v>
      </c>
      <c r="K32" s="6">
        <v>38</v>
      </c>
      <c r="L32" s="6">
        <v>13</v>
      </c>
      <c r="M32" s="6"/>
      <c r="N32" s="6"/>
      <c r="O32" s="6"/>
      <c r="P32" s="7">
        <f t="shared" si="2"/>
        <v>345</v>
      </c>
    </row>
    <row r="33" spans="1:16" ht="15.75" x14ac:dyDescent="0.25">
      <c r="A33" s="20">
        <v>2021</v>
      </c>
      <c r="B33" s="21" t="s">
        <v>15</v>
      </c>
      <c r="C33" s="24" t="s">
        <v>2</v>
      </c>
      <c r="D33" s="1">
        <v>26</v>
      </c>
      <c r="E33" s="1">
        <v>53</v>
      </c>
      <c r="F33" s="1">
        <v>55</v>
      </c>
      <c r="G33" s="1">
        <v>45</v>
      </c>
      <c r="H33" s="1">
        <v>57</v>
      </c>
      <c r="I33" s="1">
        <v>45</v>
      </c>
      <c r="J33" s="1">
        <v>53</v>
      </c>
      <c r="K33" s="1">
        <v>38</v>
      </c>
      <c r="L33" s="1">
        <v>24</v>
      </c>
      <c r="M33" s="1">
        <v>7</v>
      </c>
      <c r="N33" s="1">
        <v>7</v>
      </c>
      <c r="O33" s="1">
        <v>6</v>
      </c>
      <c r="P33" s="2">
        <f t="shared" si="2"/>
        <v>416</v>
      </c>
    </row>
    <row r="34" spans="1:16" ht="15.75" x14ac:dyDescent="0.25">
      <c r="A34" s="20">
        <v>2021</v>
      </c>
      <c r="B34" s="13" t="s">
        <v>16</v>
      </c>
      <c r="C34" s="28" t="s">
        <v>4</v>
      </c>
      <c r="D34" s="6">
        <v>35</v>
      </c>
      <c r="E34" s="6">
        <v>13.5</v>
      </c>
      <c r="F34" s="6">
        <v>90</v>
      </c>
      <c r="G34" s="6">
        <v>71.5</v>
      </c>
      <c r="H34" s="6">
        <v>25.5</v>
      </c>
      <c r="I34" s="6">
        <v>10.5</v>
      </c>
      <c r="J34" s="6">
        <v>51.5</v>
      </c>
      <c r="K34" s="6">
        <v>33.5</v>
      </c>
      <c r="L34" s="6">
        <v>17</v>
      </c>
      <c r="M34" s="6"/>
      <c r="N34" s="6"/>
      <c r="O34" s="6"/>
      <c r="P34" s="7">
        <f t="shared" si="2"/>
        <v>348</v>
      </c>
    </row>
    <row r="35" spans="1:16" ht="15.75" x14ac:dyDescent="0.25">
      <c r="A35" s="20">
        <v>2021</v>
      </c>
      <c r="B35" s="21" t="s">
        <v>17</v>
      </c>
      <c r="C35" s="24" t="s">
        <v>2</v>
      </c>
      <c r="D35" s="1">
        <v>24</v>
      </c>
      <c r="E35" s="1">
        <v>56</v>
      </c>
      <c r="F35" s="1">
        <v>47</v>
      </c>
      <c r="G35" s="1">
        <v>41</v>
      </c>
      <c r="H35" s="1">
        <v>51</v>
      </c>
      <c r="I35" s="1">
        <v>45</v>
      </c>
      <c r="J35" s="1">
        <v>50</v>
      </c>
      <c r="K35" s="1">
        <v>32</v>
      </c>
      <c r="L35" s="1">
        <v>24</v>
      </c>
      <c r="M35" s="1">
        <v>8</v>
      </c>
      <c r="N35" s="1">
        <v>5</v>
      </c>
      <c r="O35" s="1">
        <v>3</v>
      </c>
      <c r="P35" s="2">
        <f t="shared" si="2"/>
        <v>386</v>
      </c>
    </row>
    <row r="36" spans="1:16" ht="15.75" x14ac:dyDescent="0.25">
      <c r="A36" s="20">
        <v>2021</v>
      </c>
      <c r="B36" s="13" t="s">
        <v>18</v>
      </c>
      <c r="C36" s="28" t="s">
        <v>4</v>
      </c>
      <c r="D36" s="6">
        <v>123</v>
      </c>
      <c r="E36" s="6">
        <v>8.6999999999999993</v>
      </c>
      <c r="F36" s="6">
        <v>77.7</v>
      </c>
      <c r="G36" s="6">
        <v>75.5</v>
      </c>
      <c r="H36" s="6">
        <v>20.7</v>
      </c>
      <c r="I36" s="6">
        <v>5.0999999999999996</v>
      </c>
      <c r="J36" s="6">
        <v>43.2</v>
      </c>
      <c r="K36" s="6">
        <v>26</v>
      </c>
      <c r="L36" s="6">
        <v>16.5</v>
      </c>
      <c r="M36" s="6"/>
      <c r="N36" s="6"/>
      <c r="O36" s="6"/>
      <c r="P36" s="7">
        <f t="shared" si="2"/>
        <v>396.4</v>
      </c>
    </row>
    <row r="37" spans="1:16" ht="15.75" x14ac:dyDescent="0.25">
      <c r="A37" s="20">
        <v>2021</v>
      </c>
      <c r="B37" s="21" t="s">
        <v>19</v>
      </c>
      <c r="C37" s="24" t="s">
        <v>2</v>
      </c>
      <c r="D37" s="1">
        <v>37</v>
      </c>
      <c r="E37" s="1">
        <v>53</v>
      </c>
      <c r="F37" s="1">
        <v>63</v>
      </c>
      <c r="G37" s="1">
        <v>93</v>
      </c>
      <c r="H37" s="1">
        <v>86</v>
      </c>
      <c r="I37" s="1">
        <v>74</v>
      </c>
      <c r="J37" s="1">
        <v>68</v>
      </c>
      <c r="K37" s="1">
        <v>56</v>
      </c>
      <c r="L37" s="1">
        <v>40</v>
      </c>
      <c r="M37" s="1">
        <v>29</v>
      </c>
      <c r="N37" s="1">
        <v>5</v>
      </c>
      <c r="O37" s="1">
        <v>7</v>
      </c>
      <c r="P37" s="2">
        <f t="shared" si="2"/>
        <v>611</v>
      </c>
    </row>
    <row r="38" spans="1:16" ht="16.5" thickBot="1" x14ac:dyDescent="0.3">
      <c r="A38" s="39">
        <v>2021</v>
      </c>
      <c r="B38" s="40" t="s">
        <v>20</v>
      </c>
      <c r="C38" s="29" t="s">
        <v>4</v>
      </c>
      <c r="D38" s="8">
        <v>15</v>
      </c>
      <c r="E38" s="8">
        <v>26</v>
      </c>
      <c r="F38" s="8">
        <v>107.5</v>
      </c>
      <c r="G38" s="8">
        <v>112</v>
      </c>
      <c r="H38" s="8">
        <v>39</v>
      </c>
      <c r="I38" s="8">
        <v>20.5</v>
      </c>
      <c r="J38" s="8">
        <v>87.5</v>
      </c>
      <c r="K38" s="8">
        <v>48</v>
      </c>
      <c r="L38" s="8">
        <v>27</v>
      </c>
      <c r="M38" s="8"/>
      <c r="N38" s="8"/>
      <c r="O38" s="8">
        <v>14</v>
      </c>
      <c r="P38" s="9">
        <f t="shared" si="2"/>
        <v>496.5</v>
      </c>
    </row>
    <row r="39" spans="1:16" ht="16.5" thickBot="1" x14ac:dyDescent="0.3">
      <c r="A39" s="42">
        <v>2021</v>
      </c>
      <c r="B39" s="43" t="s">
        <v>0</v>
      </c>
      <c r="C39" s="26" t="s">
        <v>4</v>
      </c>
      <c r="D39" s="5">
        <f>D22+D24+D26+D28+D30+D32+D34+D36+D38</f>
        <v>405</v>
      </c>
      <c r="E39" s="5">
        <f t="shared" ref="E39:N39" si="3">E22+E24+E26+E28+E30+E32+E34+E36+E38</f>
        <v>222.89999999999998</v>
      </c>
      <c r="F39" s="5">
        <f t="shared" si="3"/>
        <v>832.30000000000007</v>
      </c>
      <c r="G39" s="5">
        <f t="shared" si="3"/>
        <v>945.3</v>
      </c>
      <c r="H39" s="5">
        <f t="shared" si="3"/>
        <v>412.9</v>
      </c>
      <c r="I39" s="5">
        <f t="shared" si="3"/>
        <v>155.4</v>
      </c>
      <c r="J39" s="5">
        <f t="shared" si="3"/>
        <v>650.70000000000005</v>
      </c>
      <c r="K39" s="5">
        <f t="shared" si="3"/>
        <v>395.1</v>
      </c>
      <c r="L39" s="5">
        <f t="shared" si="3"/>
        <v>185.1</v>
      </c>
      <c r="M39" s="5">
        <f t="shared" si="3"/>
        <v>0</v>
      </c>
      <c r="N39" s="5">
        <f t="shared" si="3"/>
        <v>0</v>
      </c>
      <c r="O39" s="5">
        <f>O22+O24+O26+O28+O30+O32+O34+O36+O38</f>
        <v>29.4</v>
      </c>
      <c r="P39" s="27"/>
    </row>
    <row r="40" spans="1:16" ht="15.75" x14ac:dyDescent="0.25">
      <c r="A40" s="37">
        <v>2022</v>
      </c>
      <c r="B40" s="44" t="s">
        <v>1</v>
      </c>
      <c r="C40" s="31" t="s">
        <v>2</v>
      </c>
      <c r="D40" s="6">
        <v>38</v>
      </c>
      <c r="E40" s="6">
        <v>66</v>
      </c>
      <c r="F40" s="6">
        <v>68</v>
      </c>
      <c r="G40" s="6">
        <v>98</v>
      </c>
      <c r="H40" s="6">
        <v>105</v>
      </c>
      <c r="I40" s="6">
        <v>83</v>
      </c>
      <c r="J40" s="6">
        <v>64</v>
      </c>
      <c r="K40" s="6">
        <v>54</v>
      </c>
      <c r="L40" s="6">
        <v>31</v>
      </c>
      <c r="M40" s="6">
        <v>15</v>
      </c>
      <c r="N40" s="6">
        <v>4.2</v>
      </c>
      <c r="O40" s="6">
        <v>7.8</v>
      </c>
      <c r="P40" s="7">
        <f>SUM(D40:O40)</f>
        <v>634</v>
      </c>
    </row>
    <row r="41" spans="1:16" ht="15.75" x14ac:dyDescent="0.25">
      <c r="A41" s="20">
        <v>2022</v>
      </c>
      <c r="B41" s="30" t="s">
        <v>3</v>
      </c>
      <c r="C41" s="28" t="s">
        <v>4</v>
      </c>
      <c r="D41" s="6">
        <v>24.1</v>
      </c>
      <c r="E41" s="6">
        <v>127.3</v>
      </c>
      <c r="F41" s="6">
        <v>49</v>
      </c>
      <c r="G41" s="6">
        <v>122</v>
      </c>
      <c r="H41" s="6">
        <v>107</v>
      </c>
      <c r="I41" s="6">
        <v>14.2</v>
      </c>
      <c r="J41" s="6">
        <v>69.400000000000006</v>
      </c>
      <c r="K41" s="6">
        <v>22.4</v>
      </c>
      <c r="L41" s="6">
        <v>25.8</v>
      </c>
      <c r="M41" s="6"/>
      <c r="N41" s="6"/>
      <c r="O41" s="6"/>
      <c r="P41" s="7">
        <f t="shared" ref="P41:P57" si="4">SUM(D41:O41)</f>
        <v>561.19999999999993</v>
      </c>
    </row>
    <row r="42" spans="1:16" ht="15.75" x14ac:dyDescent="0.25">
      <c r="A42" s="20">
        <v>2022</v>
      </c>
      <c r="B42" s="30" t="s">
        <v>5</v>
      </c>
      <c r="C42" s="28" t="s">
        <v>2</v>
      </c>
      <c r="D42" s="6">
        <v>35.799999999999997</v>
      </c>
      <c r="E42" s="6">
        <v>35.5</v>
      </c>
      <c r="F42" s="6">
        <v>54.5</v>
      </c>
      <c r="G42" s="6">
        <v>70.3</v>
      </c>
      <c r="H42" s="6">
        <v>76</v>
      </c>
      <c r="I42" s="6">
        <v>59.8</v>
      </c>
      <c r="J42" s="6">
        <v>39.299999999999997</v>
      </c>
      <c r="K42" s="6">
        <v>45</v>
      </c>
      <c r="L42" s="6">
        <v>28.8</v>
      </c>
      <c r="M42" s="6">
        <v>16.3</v>
      </c>
      <c r="N42" s="6">
        <v>4.7</v>
      </c>
      <c r="O42" s="6">
        <v>11.6</v>
      </c>
      <c r="P42" s="7">
        <f>SUM(D42:O42)</f>
        <v>477.60000000000008</v>
      </c>
    </row>
    <row r="43" spans="1:16" ht="15.75" x14ac:dyDescent="0.25">
      <c r="A43" s="20">
        <v>2022</v>
      </c>
      <c r="B43" s="30" t="s">
        <v>6</v>
      </c>
      <c r="C43" s="28" t="s">
        <v>4</v>
      </c>
      <c r="D43" s="6">
        <v>11</v>
      </c>
      <c r="E43" s="6">
        <v>88.5</v>
      </c>
      <c r="F43" s="6">
        <v>28.5</v>
      </c>
      <c r="G43" s="6">
        <v>76</v>
      </c>
      <c r="H43" s="6">
        <v>67.5</v>
      </c>
      <c r="I43" s="6">
        <v>14.5</v>
      </c>
      <c r="J43" s="6">
        <v>95.5</v>
      </c>
      <c r="K43" s="6">
        <v>15.5</v>
      </c>
      <c r="L43" s="6">
        <v>15.5</v>
      </c>
      <c r="M43" s="6"/>
      <c r="N43" s="6"/>
      <c r="O43" s="6">
        <v>1</v>
      </c>
      <c r="P43" s="7">
        <f t="shared" si="4"/>
        <v>413.5</v>
      </c>
    </row>
    <row r="44" spans="1:16" ht="15.75" x14ac:dyDescent="0.25">
      <c r="A44" s="20">
        <v>2022</v>
      </c>
      <c r="B44" s="30" t="s">
        <v>7</v>
      </c>
      <c r="C44" s="28" t="s">
        <v>2</v>
      </c>
      <c r="D44" s="6">
        <v>36</v>
      </c>
      <c r="E44" s="6">
        <v>66</v>
      </c>
      <c r="F44" s="6">
        <v>92</v>
      </c>
      <c r="G44" s="6">
        <v>101</v>
      </c>
      <c r="H44" s="6">
        <v>94</v>
      </c>
      <c r="I44" s="6">
        <v>75</v>
      </c>
      <c r="J44" s="6">
        <v>83</v>
      </c>
      <c r="K44" s="6">
        <v>51</v>
      </c>
      <c r="L44" s="6">
        <v>26</v>
      </c>
      <c r="M44" s="6">
        <v>8</v>
      </c>
      <c r="N44" s="6">
        <v>4</v>
      </c>
      <c r="O44" s="6">
        <v>4</v>
      </c>
      <c r="P44" s="7">
        <f t="shared" si="4"/>
        <v>640</v>
      </c>
    </row>
    <row r="45" spans="1:16" ht="15.75" x14ac:dyDescent="0.25">
      <c r="A45" s="20">
        <v>2022</v>
      </c>
      <c r="B45" s="30" t="s">
        <v>8</v>
      </c>
      <c r="C45" s="28" t="s">
        <v>4</v>
      </c>
      <c r="D45" s="6">
        <v>7.5</v>
      </c>
      <c r="E45" s="6">
        <v>170</v>
      </c>
      <c r="F45" s="6">
        <v>44</v>
      </c>
      <c r="G45" s="6">
        <v>102</v>
      </c>
      <c r="H45" s="6">
        <v>102</v>
      </c>
      <c r="I45" s="6">
        <v>6</v>
      </c>
      <c r="J45" s="6">
        <v>70.5</v>
      </c>
      <c r="K45" s="6">
        <v>16.5</v>
      </c>
      <c r="L45" s="6">
        <v>39</v>
      </c>
      <c r="M45" s="6"/>
      <c r="N45" s="6"/>
      <c r="O45" s="6"/>
      <c r="P45" s="7">
        <f t="shared" si="4"/>
        <v>557.5</v>
      </c>
    </row>
    <row r="46" spans="1:16" ht="15.75" x14ac:dyDescent="0.25">
      <c r="A46" s="20">
        <v>2022</v>
      </c>
      <c r="B46" s="30" t="s">
        <v>9</v>
      </c>
      <c r="C46" s="28" t="s">
        <v>2</v>
      </c>
      <c r="D46" s="6">
        <v>37</v>
      </c>
      <c r="E46" s="6">
        <v>112</v>
      </c>
      <c r="F46" s="6">
        <v>148</v>
      </c>
      <c r="G46" s="6">
        <v>146</v>
      </c>
      <c r="H46" s="6">
        <v>126</v>
      </c>
      <c r="I46" s="6">
        <v>116</v>
      </c>
      <c r="J46" s="6">
        <v>97</v>
      </c>
      <c r="K46" s="6">
        <v>75</v>
      </c>
      <c r="L46" s="6">
        <v>31</v>
      </c>
      <c r="M46" s="6">
        <v>8.5</v>
      </c>
      <c r="N46" s="6">
        <v>2.6</v>
      </c>
      <c r="O46" s="6">
        <v>7</v>
      </c>
      <c r="P46" s="7">
        <f t="shared" si="4"/>
        <v>906.1</v>
      </c>
    </row>
    <row r="47" spans="1:16" ht="15.75" x14ac:dyDescent="0.25">
      <c r="A47" s="20">
        <v>2022</v>
      </c>
      <c r="B47" s="30" t="s">
        <v>10</v>
      </c>
      <c r="C47" s="28" t="s">
        <v>4</v>
      </c>
      <c r="D47" s="6">
        <v>24</v>
      </c>
      <c r="E47" s="6">
        <v>205.5</v>
      </c>
      <c r="F47" s="6">
        <v>121</v>
      </c>
      <c r="G47" s="6">
        <v>201</v>
      </c>
      <c r="H47" s="6">
        <v>104</v>
      </c>
      <c r="I47" s="6">
        <v>17</v>
      </c>
      <c r="J47" s="6">
        <v>50</v>
      </c>
      <c r="K47" s="6">
        <v>45</v>
      </c>
      <c r="L47" s="6">
        <v>62</v>
      </c>
      <c r="M47" s="6"/>
      <c r="N47" s="6"/>
      <c r="O47" s="6"/>
      <c r="P47" s="7">
        <f t="shared" si="4"/>
        <v>829.5</v>
      </c>
    </row>
    <row r="48" spans="1:16" ht="15.75" x14ac:dyDescent="0.25">
      <c r="A48" s="20">
        <v>2022</v>
      </c>
      <c r="B48" s="30" t="s">
        <v>11</v>
      </c>
      <c r="C48" s="28" t="s">
        <v>2</v>
      </c>
      <c r="D48" s="6">
        <v>37</v>
      </c>
      <c r="E48" s="6">
        <v>63</v>
      </c>
      <c r="F48" s="6">
        <v>60</v>
      </c>
      <c r="G48" s="6">
        <v>72</v>
      </c>
      <c r="H48" s="6">
        <v>75</v>
      </c>
      <c r="I48" s="6">
        <v>63</v>
      </c>
      <c r="J48" s="6">
        <v>65</v>
      </c>
      <c r="K48" s="6">
        <v>59</v>
      </c>
      <c r="L48" s="6">
        <v>33</v>
      </c>
      <c r="M48" s="6">
        <v>22</v>
      </c>
      <c r="N48" s="6">
        <v>7.1</v>
      </c>
      <c r="O48" s="6">
        <v>12</v>
      </c>
      <c r="P48" s="7">
        <f t="shared" si="4"/>
        <v>568.1</v>
      </c>
    </row>
    <row r="49" spans="1:16" ht="15.75" x14ac:dyDescent="0.25">
      <c r="A49" s="20">
        <v>2022</v>
      </c>
      <c r="B49" s="30" t="s">
        <v>12</v>
      </c>
      <c r="C49" s="28" t="s">
        <v>4</v>
      </c>
      <c r="D49" s="6"/>
      <c r="E49" s="6">
        <v>102</v>
      </c>
      <c r="F49" s="6">
        <v>37</v>
      </c>
      <c r="G49" s="6">
        <v>106</v>
      </c>
      <c r="H49" s="6">
        <v>113</v>
      </c>
      <c r="I49" s="6">
        <v>27</v>
      </c>
      <c r="J49" s="6">
        <v>139</v>
      </c>
      <c r="K49" s="6">
        <v>19</v>
      </c>
      <c r="L49" s="6">
        <v>24</v>
      </c>
      <c r="M49" s="6"/>
      <c r="N49" s="6"/>
      <c r="O49" s="6">
        <v>6</v>
      </c>
      <c r="P49" s="7">
        <f t="shared" si="4"/>
        <v>573</v>
      </c>
    </row>
    <row r="50" spans="1:16" ht="15.75" x14ac:dyDescent="0.25">
      <c r="A50" s="20">
        <v>2022</v>
      </c>
      <c r="B50" s="30" t="s">
        <v>13</v>
      </c>
      <c r="C50" s="28" t="s">
        <v>2</v>
      </c>
      <c r="D50" s="6">
        <v>41</v>
      </c>
      <c r="E50" s="6">
        <v>52</v>
      </c>
      <c r="F50" s="6">
        <v>43</v>
      </c>
      <c r="G50" s="6">
        <v>48</v>
      </c>
      <c r="H50" s="6">
        <v>52</v>
      </c>
      <c r="I50" s="6">
        <v>57</v>
      </c>
      <c r="J50" s="6">
        <v>44</v>
      </c>
      <c r="K50" s="6">
        <v>35</v>
      </c>
      <c r="L50" s="6">
        <v>23</v>
      </c>
      <c r="M50" s="6">
        <v>14</v>
      </c>
      <c r="N50" s="6">
        <v>3.9</v>
      </c>
      <c r="O50" s="6">
        <v>8.9</v>
      </c>
      <c r="P50" s="7">
        <f t="shared" si="4"/>
        <v>421.79999999999995</v>
      </c>
    </row>
    <row r="51" spans="1:16" ht="15.75" x14ac:dyDescent="0.25">
      <c r="A51" s="20">
        <v>2022</v>
      </c>
      <c r="B51" s="30" t="s">
        <v>14</v>
      </c>
      <c r="C51" s="28" t="s">
        <v>4</v>
      </c>
      <c r="D51" s="6"/>
      <c r="E51" s="6">
        <v>89</v>
      </c>
      <c r="F51" s="6">
        <v>21</v>
      </c>
      <c r="G51" s="6">
        <v>86</v>
      </c>
      <c r="H51" s="6">
        <v>44.5</v>
      </c>
      <c r="I51" s="6">
        <v>13.5</v>
      </c>
      <c r="J51" s="6">
        <v>119.5</v>
      </c>
      <c r="K51" s="6">
        <v>15</v>
      </c>
      <c r="L51" s="6">
        <v>44.5</v>
      </c>
      <c r="M51" s="6"/>
      <c r="N51" s="6"/>
      <c r="O51" s="6"/>
      <c r="P51" s="7">
        <f t="shared" si="4"/>
        <v>433</v>
      </c>
    </row>
    <row r="52" spans="1:16" ht="15.75" x14ac:dyDescent="0.25">
      <c r="A52" s="20">
        <v>2022</v>
      </c>
      <c r="B52" s="30" t="s">
        <v>15</v>
      </c>
      <c r="C52" s="28" t="s">
        <v>2</v>
      </c>
      <c r="D52" s="6">
        <v>26</v>
      </c>
      <c r="E52" s="6">
        <v>53</v>
      </c>
      <c r="F52" s="6">
        <v>55</v>
      </c>
      <c r="G52" s="6">
        <v>45</v>
      </c>
      <c r="H52" s="6">
        <v>57</v>
      </c>
      <c r="I52" s="6">
        <v>45</v>
      </c>
      <c r="J52" s="6">
        <v>53</v>
      </c>
      <c r="K52" s="6">
        <v>38</v>
      </c>
      <c r="L52" s="6">
        <v>24</v>
      </c>
      <c r="M52" s="6">
        <v>7</v>
      </c>
      <c r="N52" s="6">
        <v>7</v>
      </c>
      <c r="O52" s="6">
        <v>6</v>
      </c>
      <c r="P52" s="7">
        <f t="shared" si="4"/>
        <v>416</v>
      </c>
    </row>
    <row r="53" spans="1:16" ht="15.75" x14ac:dyDescent="0.25">
      <c r="A53" s="20">
        <v>2022</v>
      </c>
      <c r="B53" s="30" t="s">
        <v>16</v>
      </c>
      <c r="C53" s="28" t="s">
        <v>4</v>
      </c>
      <c r="D53" s="6">
        <v>12</v>
      </c>
      <c r="E53" s="6">
        <v>134</v>
      </c>
      <c r="F53" s="6">
        <v>18.2</v>
      </c>
      <c r="G53" s="6">
        <v>62</v>
      </c>
      <c r="H53" s="6">
        <v>47</v>
      </c>
      <c r="I53" s="6">
        <v>16.5</v>
      </c>
      <c r="J53" s="6">
        <v>93</v>
      </c>
      <c r="K53" s="6">
        <v>19</v>
      </c>
      <c r="L53" s="6">
        <v>15.5</v>
      </c>
      <c r="M53" s="6"/>
      <c r="N53" s="6"/>
      <c r="O53" s="6">
        <v>4</v>
      </c>
      <c r="P53" s="7">
        <f t="shared" si="4"/>
        <v>421.2</v>
      </c>
    </row>
    <row r="54" spans="1:16" ht="15.75" x14ac:dyDescent="0.25">
      <c r="A54" s="20">
        <v>2022</v>
      </c>
      <c r="B54" s="30" t="s">
        <v>17</v>
      </c>
      <c r="C54" s="28" t="s">
        <v>2</v>
      </c>
      <c r="D54" s="6">
        <v>24</v>
      </c>
      <c r="E54" s="6">
        <v>56</v>
      </c>
      <c r="F54" s="6">
        <v>47</v>
      </c>
      <c r="G54" s="6">
        <v>41</v>
      </c>
      <c r="H54" s="6">
        <v>51</v>
      </c>
      <c r="I54" s="6">
        <v>45</v>
      </c>
      <c r="J54" s="6">
        <v>50</v>
      </c>
      <c r="K54" s="6">
        <v>32</v>
      </c>
      <c r="L54" s="6">
        <v>24</v>
      </c>
      <c r="M54" s="6">
        <v>8</v>
      </c>
      <c r="N54" s="6">
        <v>5</v>
      </c>
      <c r="O54" s="6">
        <v>3</v>
      </c>
      <c r="P54" s="7">
        <f t="shared" si="4"/>
        <v>386</v>
      </c>
    </row>
    <row r="55" spans="1:16" ht="15.75" x14ac:dyDescent="0.25">
      <c r="A55" s="20">
        <v>2022</v>
      </c>
      <c r="B55" s="30" t="s">
        <v>18</v>
      </c>
      <c r="C55" s="28" t="s">
        <v>4</v>
      </c>
      <c r="D55" s="6"/>
      <c r="E55" s="6">
        <v>164.5</v>
      </c>
      <c r="F55" s="6">
        <v>13.5</v>
      </c>
      <c r="G55" s="6">
        <v>75.5</v>
      </c>
      <c r="H55" s="6">
        <v>37</v>
      </c>
      <c r="I55" s="6">
        <v>13.5</v>
      </c>
      <c r="J55" s="6">
        <v>86.5</v>
      </c>
      <c r="K55" s="6">
        <v>12.5</v>
      </c>
      <c r="L55" s="6">
        <v>43.5</v>
      </c>
      <c r="M55" s="6"/>
      <c r="N55" s="6"/>
      <c r="O55" s="6">
        <v>3</v>
      </c>
      <c r="P55" s="7">
        <f t="shared" si="4"/>
        <v>449.5</v>
      </c>
    </row>
    <row r="56" spans="1:16" ht="15.75" x14ac:dyDescent="0.25">
      <c r="A56" s="20">
        <v>2022</v>
      </c>
      <c r="B56" s="30" t="s">
        <v>19</v>
      </c>
      <c r="C56" s="28" t="s">
        <v>2</v>
      </c>
      <c r="D56" s="6">
        <v>37</v>
      </c>
      <c r="E56" s="6">
        <v>53</v>
      </c>
      <c r="F56" s="6">
        <v>63</v>
      </c>
      <c r="G56" s="6">
        <v>93</v>
      </c>
      <c r="H56" s="6">
        <v>86</v>
      </c>
      <c r="I56" s="6">
        <v>74</v>
      </c>
      <c r="J56" s="6">
        <v>68</v>
      </c>
      <c r="K56" s="6">
        <v>56</v>
      </c>
      <c r="L56" s="6">
        <v>40</v>
      </c>
      <c r="M56" s="6">
        <v>29</v>
      </c>
      <c r="N56" s="6">
        <v>5</v>
      </c>
      <c r="O56" s="6">
        <v>7</v>
      </c>
      <c r="P56" s="7">
        <f t="shared" si="4"/>
        <v>611</v>
      </c>
    </row>
    <row r="57" spans="1:16" ht="16.5" thickBot="1" x14ac:dyDescent="0.3">
      <c r="A57" s="39">
        <v>2022</v>
      </c>
      <c r="B57" s="45" t="s">
        <v>20</v>
      </c>
      <c r="C57" s="29" t="s">
        <v>4</v>
      </c>
      <c r="D57" s="8">
        <v>15</v>
      </c>
      <c r="E57" s="8">
        <v>132</v>
      </c>
      <c r="F57" s="8">
        <v>26.5</v>
      </c>
      <c r="G57" s="8">
        <v>109</v>
      </c>
      <c r="H57" s="8">
        <v>66</v>
      </c>
      <c r="I57" s="8">
        <v>34</v>
      </c>
      <c r="J57" s="8">
        <v>122</v>
      </c>
      <c r="K57" s="8">
        <v>24</v>
      </c>
      <c r="L57" s="8">
        <v>30</v>
      </c>
      <c r="M57" s="8">
        <v>7</v>
      </c>
      <c r="N57" s="8"/>
      <c r="O57" s="8"/>
      <c r="P57" s="9">
        <f t="shared" si="4"/>
        <v>565.5</v>
      </c>
    </row>
    <row r="58" spans="1:16" ht="16.5" thickBot="1" x14ac:dyDescent="0.3">
      <c r="A58" s="42">
        <v>2022</v>
      </c>
      <c r="B58" s="43" t="s">
        <v>0</v>
      </c>
      <c r="C58" s="26" t="s">
        <v>4</v>
      </c>
      <c r="D58" s="10">
        <f>D41+D43+D45+D47+D49+D51+D53+D55+D57</f>
        <v>93.6</v>
      </c>
      <c r="E58" s="10">
        <f>E41+E43+E45+E47+E49+E51+E53+E55+E57</f>
        <v>1212.8</v>
      </c>
      <c r="F58" s="5">
        <f t="shared" ref="F58:M58" si="5">F41+F43+F45+F47+F49+F51+F53+F55+F57</f>
        <v>358.7</v>
      </c>
      <c r="G58" s="5">
        <f t="shared" si="5"/>
        <v>939.5</v>
      </c>
      <c r="H58" s="5">
        <f t="shared" si="5"/>
        <v>688</v>
      </c>
      <c r="I58" s="5">
        <f t="shared" si="5"/>
        <v>156.19999999999999</v>
      </c>
      <c r="J58" s="5">
        <f t="shared" si="5"/>
        <v>845.4</v>
      </c>
      <c r="K58" s="5">
        <f t="shared" si="5"/>
        <v>188.9</v>
      </c>
      <c r="L58" s="5">
        <f t="shared" si="5"/>
        <v>299.8</v>
      </c>
      <c r="M58" s="5">
        <f t="shared" si="5"/>
        <v>7</v>
      </c>
      <c r="N58" s="5">
        <f>N41+N43+N45+N47+N49+N51+N53+N55+N57</f>
        <v>0</v>
      </c>
      <c r="O58" s="5">
        <f>O41+O43+O45+O47+O49+O51+O53+O55+O57</f>
        <v>14</v>
      </c>
      <c r="P58" s="27"/>
    </row>
    <row r="59" spans="1:16" ht="15.75" x14ac:dyDescent="0.25">
      <c r="A59" s="37">
        <v>2023</v>
      </c>
      <c r="B59" s="38" t="s">
        <v>1</v>
      </c>
      <c r="C59" s="32" t="s">
        <v>2</v>
      </c>
      <c r="D59" s="11">
        <v>38</v>
      </c>
      <c r="E59" s="11">
        <v>66</v>
      </c>
      <c r="F59" s="11">
        <v>68</v>
      </c>
      <c r="G59" s="11">
        <v>98</v>
      </c>
      <c r="H59" s="11">
        <v>105</v>
      </c>
      <c r="I59" s="11">
        <v>83</v>
      </c>
      <c r="J59" s="11">
        <v>64</v>
      </c>
      <c r="K59" s="11">
        <v>54</v>
      </c>
      <c r="L59" s="11">
        <v>31</v>
      </c>
      <c r="M59" s="11">
        <v>15</v>
      </c>
      <c r="N59" s="11">
        <v>4.2</v>
      </c>
      <c r="O59" s="11">
        <v>7.8</v>
      </c>
      <c r="P59" s="12">
        <f>SUM(D59:O59)</f>
        <v>634</v>
      </c>
    </row>
    <row r="60" spans="1:16" ht="15.75" x14ac:dyDescent="0.25">
      <c r="A60" s="20">
        <v>2023</v>
      </c>
      <c r="B60" s="33" t="s">
        <v>3</v>
      </c>
      <c r="C60" s="34" t="s">
        <v>4</v>
      </c>
      <c r="D60" s="11">
        <v>51.6</v>
      </c>
      <c r="E60" s="11">
        <v>5.8</v>
      </c>
      <c r="F60" s="11">
        <v>107</v>
      </c>
      <c r="G60" s="11">
        <v>13.2</v>
      </c>
      <c r="H60" s="11">
        <v>42.2</v>
      </c>
      <c r="I60" s="11">
        <v>12.2</v>
      </c>
      <c r="J60" s="11">
        <v>14</v>
      </c>
      <c r="K60" s="11">
        <v>37.4</v>
      </c>
      <c r="L60" s="11">
        <v>86</v>
      </c>
      <c r="M60" s="11">
        <v>105.5</v>
      </c>
      <c r="N60" s="11"/>
      <c r="O60" s="11"/>
      <c r="P60" s="12">
        <f t="shared" ref="P60:P76" si="6">SUM(D60:O60)</f>
        <v>474.9</v>
      </c>
    </row>
    <row r="61" spans="1:16" ht="15.75" x14ac:dyDescent="0.25">
      <c r="A61" s="20">
        <v>2023</v>
      </c>
      <c r="B61" s="35" t="s">
        <v>5</v>
      </c>
      <c r="C61" s="34" t="s">
        <v>2</v>
      </c>
      <c r="D61" s="11">
        <v>35.799999999999997</v>
      </c>
      <c r="E61" s="11">
        <v>35.5</v>
      </c>
      <c r="F61" s="11">
        <v>54.5</v>
      </c>
      <c r="G61" s="11">
        <v>70.3</v>
      </c>
      <c r="H61" s="11">
        <v>76</v>
      </c>
      <c r="I61" s="11">
        <v>59.8</v>
      </c>
      <c r="J61" s="11">
        <v>39.299999999999997</v>
      </c>
      <c r="K61" s="11">
        <v>45</v>
      </c>
      <c r="L61" s="11">
        <v>28.8</v>
      </c>
      <c r="M61" s="11">
        <v>16.3</v>
      </c>
      <c r="N61" s="11">
        <v>4.7</v>
      </c>
      <c r="O61" s="11">
        <v>11.6</v>
      </c>
      <c r="P61" s="12">
        <f>SUM(D61:O61)</f>
        <v>477.60000000000008</v>
      </c>
    </row>
    <row r="62" spans="1:16" ht="15.75" x14ac:dyDescent="0.25">
      <c r="A62" s="20">
        <v>2023</v>
      </c>
      <c r="B62" s="33" t="s">
        <v>6</v>
      </c>
      <c r="C62" s="34" t="s">
        <v>4</v>
      </c>
      <c r="D62" s="11">
        <v>30</v>
      </c>
      <c r="E62" s="11">
        <v>10.5</v>
      </c>
      <c r="F62" s="11">
        <v>58.5</v>
      </c>
      <c r="G62" s="11">
        <v>20.6</v>
      </c>
      <c r="H62" s="11">
        <v>21.5</v>
      </c>
      <c r="I62" s="11">
        <v>5</v>
      </c>
      <c r="J62" s="11">
        <v>0.5</v>
      </c>
      <c r="K62" s="11">
        <v>31.5</v>
      </c>
      <c r="L62" s="11">
        <v>69</v>
      </c>
      <c r="M62" s="11">
        <v>63</v>
      </c>
      <c r="N62" s="11">
        <v>2</v>
      </c>
      <c r="O62" s="11"/>
      <c r="P62" s="12">
        <f t="shared" si="6"/>
        <v>312.10000000000002</v>
      </c>
    </row>
    <row r="63" spans="1:16" ht="15.75" x14ac:dyDescent="0.25">
      <c r="A63" s="20">
        <v>2023</v>
      </c>
      <c r="B63" s="35" t="s">
        <v>7</v>
      </c>
      <c r="C63" s="34" t="s">
        <v>2</v>
      </c>
      <c r="D63" s="11">
        <v>36</v>
      </c>
      <c r="E63" s="11">
        <v>66</v>
      </c>
      <c r="F63" s="11">
        <v>92</v>
      </c>
      <c r="G63" s="11">
        <v>101</v>
      </c>
      <c r="H63" s="11">
        <v>94</v>
      </c>
      <c r="I63" s="11">
        <v>75</v>
      </c>
      <c r="J63" s="11">
        <v>83</v>
      </c>
      <c r="K63" s="11">
        <v>51</v>
      </c>
      <c r="L63" s="11">
        <v>26</v>
      </c>
      <c r="M63" s="11">
        <v>8</v>
      </c>
      <c r="N63" s="11">
        <v>4</v>
      </c>
      <c r="O63" s="11">
        <v>4</v>
      </c>
      <c r="P63" s="12">
        <f t="shared" si="6"/>
        <v>640</v>
      </c>
    </row>
    <row r="64" spans="1:16" ht="15.75" x14ac:dyDescent="0.25">
      <c r="A64" s="20">
        <v>2023</v>
      </c>
      <c r="B64" s="33" t="s">
        <v>8</v>
      </c>
      <c r="C64" s="34" t="s">
        <v>4</v>
      </c>
      <c r="D64" s="11">
        <v>47</v>
      </c>
      <c r="E64" s="11">
        <v>17</v>
      </c>
      <c r="F64" s="11">
        <v>95</v>
      </c>
      <c r="G64" s="11">
        <v>18</v>
      </c>
      <c r="H64" s="11">
        <v>40</v>
      </c>
      <c r="I64" s="11">
        <v>33</v>
      </c>
      <c r="J64" s="11">
        <v>12</v>
      </c>
      <c r="K64" s="11">
        <v>34</v>
      </c>
      <c r="L64" s="11">
        <v>69</v>
      </c>
      <c r="M64" s="11">
        <v>67</v>
      </c>
      <c r="N64" s="11"/>
      <c r="O64" s="11"/>
      <c r="P64" s="12">
        <f t="shared" si="6"/>
        <v>432</v>
      </c>
    </row>
    <row r="65" spans="1:16" ht="15.75" x14ac:dyDescent="0.25">
      <c r="A65" s="20">
        <v>2023</v>
      </c>
      <c r="B65" s="35" t="s">
        <v>9</v>
      </c>
      <c r="C65" s="34" t="s">
        <v>2</v>
      </c>
      <c r="D65" s="11">
        <v>37</v>
      </c>
      <c r="E65" s="11">
        <v>112</v>
      </c>
      <c r="F65" s="11">
        <v>148</v>
      </c>
      <c r="G65" s="11">
        <v>146</v>
      </c>
      <c r="H65" s="11">
        <v>126</v>
      </c>
      <c r="I65" s="11">
        <v>116</v>
      </c>
      <c r="J65" s="11">
        <v>97</v>
      </c>
      <c r="K65" s="11">
        <v>75</v>
      </c>
      <c r="L65" s="11">
        <v>31</v>
      </c>
      <c r="M65" s="11">
        <v>8.5</v>
      </c>
      <c r="N65" s="11">
        <v>2.6</v>
      </c>
      <c r="O65" s="11">
        <v>7</v>
      </c>
      <c r="P65" s="12">
        <f t="shared" si="6"/>
        <v>906.1</v>
      </c>
    </row>
    <row r="66" spans="1:16" ht="15.75" x14ac:dyDescent="0.25">
      <c r="A66" s="20">
        <v>2023</v>
      </c>
      <c r="B66" s="33" t="s">
        <v>10</v>
      </c>
      <c r="C66" s="34" t="s">
        <v>4</v>
      </c>
      <c r="D66" s="11">
        <v>68</v>
      </c>
      <c r="E66" s="11">
        <v>14</v>
      </c>
      <c r="F66" s="11">
        <v>222</v>
      </c>
      <c r="G66" s="11">
        <v>37</v>
      </c>
      <c r="H66" s="11">
        <v>176</v>
      </c>
      <c r="I66" s="11">
        <v>30</v>
      </c>
      <c r="J66" s="11">
        <v>48</v>
      </c>
      <c r="K66" s="11">
        <v>40</v>
      </c>
      <c r="L66" s="11">
        <v>67</v>
      </c>
      <c r="M66" s="11">
        <v>49</v>
      </c>
      <c r="N66" s="11"/>
      <c r="O66" s="11"/>
      <c r="P66" s="12">
        <f t="shared" si="6"/>
        <v>751</v>
      </c>
    </row>
    <row r="67" spans="1:16" ht="15.75" x14ac:dyDescent="0.25">
      <c r="A67" s="20">
        <v>2023</v>
      </c>
      <c r="B67" s="35" t="s">
        <v>11</v>
      </c>
      <c r="C67" s="34" t="s">
        <v>2</v>
      </c>
      <c r="D67" s="11">
        <v>37</v>
      </c>
      <c r="E67" s="11">
        <v>63</v>
      </c>
      <c r="F67" s="11">
        <v>60</v>
      </c>
      <c r="G67" s="11">
        <v>72</v>
      </c>
      <c r="H67" s="11">
        <v>75</v>
      </c>
      <c r="I67" s="11">
        <v>63</v>
      </c>
      <c r="J67" s="11">
        <v>65</v>
      </c>
      <c r="K67" s="11">
        <v>59</v>
      </c>
      <c r="L67" s="11">
        <v>33</v>
      </c>
      <c r="M67" s="11">
        <v>22</v>
      </c>
      <c r="N67" s="11">
        <v>7.1</v>
      </c>
      <c r="O67" s="11">
        <v>12</v>
      </c>
      <c r="P67" s="12">
        <f t="shared" si="6"/>
        <v>568.1</v>
      </c>
    </row>
    <row r="68" spans="1:16" ht="15.75" x14ac:dyDescent="0.25">
      <c r="A68" s="20">
        <v>2023</v>
      </c>
      <c r="B68" s="33" t="s">
        <v>12</v>
      </c>
      <c r="C68" s="34" t="s">
        <v>4</v>
      </c>
      <c r="D68" s="11">
        <v>48</v>
      </c>
      <c r="E68" s="11">
        <v>18</v>
      </c>
      <c r="F68" s="11">
        <v>117</v>
      </c>
      <c r="G68" s="11">
        <v>37</v>
      </c>
      <c r="H68" s="11">
        <v>42</v>
      </c>
      <c r="I68" s="11">
        <v>55</v>
      </c>
      <c r="J68" s="11">
        <v>0</v>
      </c>
      <c r="K68" s="11">
        <v>45.5</v>
      </c>
      <c r="L68" s="11">
        <v>69</v>
      </c>
      <c r="M68" s="11">
        <v>69.5</v>
      </c>
      <c r="N68" s="11"/>
      <c r="O68" s="11"/>
      <c r="P68" s="12">
        <f t="shared" si="6"/>
        <v>501</v>
      </c>
    </row>
    <row r="69" spans="1:16" ht="15.75" x14ac:dyDescent="0.25">
      <c r="A69" s="20">
        <v>2023</v>
      </c>
      <c r="B69" s="35" t="s">
        <v>13</v>
      </c>
      <c r="C69" s="34" t="s">
        <v>2</v>
      </c>
      <c r="D69" s="11">
        <v>41</v>
      </c>
      <c r="E69" s="11">
        <v>52</v>
      </c>
      <c r="F69" s="11">
        <v>43</v>
      </c>
      <c r="G69" s="11">
        <v>48</v>
      </c>
      <c r="H69" s="11">
        <v>52</v>
      </c>
      <c r="I69" s="11">
        <v>57</v>
      </c>
      <c r="J69" s="11">
        <v>44</v>
      </c>
      <c r="K69" s="11">
        <v>35</v>
      </c>
      <c r="L69" s="11">
        <v>23</v>
      </c>
      <c r="M69" s="11">
        <v>14</v>
      </c>
      <c r="N69" s="11">
        <v>3.9</v>
      </c>
      <c r="O69" s="11">
        <v>8.9</v>
      </c>
      <c r="P69" s="12">
        <f t="shared" si="6"/>
        <v>421.79999999999995</v>
      </c>
    </row>
    <row r="70" spans="1:16" ht="15.75" x14ac:dyDescent="0.25">
      <c r="A70" s="20">
        <v>2023</v>
      </c>
      <c r="B70" s="33" t="s">
        <v>14</v>
      </c>
      <c r="C70" s="34" t="s">
        <v>4</v>
      </c>
      <c r="D70" s="11">
        <v>64</v>
      </c>
      <c r="E70" s="11">
        <v>16.5</v>
      </c>
      <c r="F70" s="11">
        <v>45</v>
      </c>
      <c r="G70" s="11">
        <v>6</v>
      </c>
      <c r="H70" s="11">
        <v>19.5</v>
      </c>
      <c r="I70" s="11">
        <v>14</v>
      </c>
      <c r="J70" s="11">
        <v>2</v>
      </c>
      <c r="K70" s="11">
        <v>18.5</v>
      </c>
      <c r="L70" s="11">
        <v>45</v>
      </c>
      <c r="M70" s="11">
        <v>60.5</v>
      </c>
      <c r="N70" s="11"/>
      <c r="O70" s="11"/>
      <c r="P70" s="12">
        <f t="shared" si="6"/>
        <v>291</v>
      </c>
    </row>
    <row r="71" spans="1:16" ht="15.75" x14ac:dyDescent="0.25">
      <c r="A71" s="20">
        <v>2023</v>
      </c>
      <c r="B71" s="35" t="s">
        <v>15</v>
      </c>
      <c r="C71" s="34" t="s">
        <v>2</v>
      </c>
      <c r="D71" s="11">
        <v>26</v>
      </c>
      <c r="E71" s="11">
        <v>53</v>
      </c>
      <c r="F71" s="11">
        <v>55</v>
      </c>
      <c r="G71" s="11">
        <v>45</v>
      </c>
      <c r="H71" s="11">
        <v>57</v>
      </c>
      <c r="I71" s="11">
        <v>45</v>
      </c>
      <c r="J71" s="11">
        <v>53</v>
      </c>
      <c r="K71" s="11">
        <v>38</v>
      </c>
      <c r="L71" s="11">
        <v>24</v>
      </c>
      <c r="M71" s="11">
        <v>7</v>
      </c>
      <c r="N71" s="11">
        <v>7</v>
      </c>
      <c r="O71" s="11">
        <v>6</v>
      </c>
      <c r="P71" s="12">
        <f t="shared" si="6"/>
        <v>416</v>
      </c>
    </row>
    <row r="72" spans="1:16" ht="15.75" x14ac:dyDescent="0.25">
      <c r="A72" s="20">
        <v>2023</v>
      </c>
      <c r="B72" s="33" t="s">
        <v>16</v>
      </c>
      <c r="C72" s="34" t="s">
        <v>4</v>
      </c>
      <c r="D72" s="11">
        <v>38</v>
      </c>
      <c r="E72" s="11">
        <v>7</v>
      </c>
      <c r="F72" s="11">
        <v>53</v>
      </c>
      <c r="G72" s="11">
        <v>9</v>
      </c>
      <c r="H72" s="11">
        <v>12</v>
      </c>
      <c r="I72" s="11">
        <v>13</v>
      </c>
      <c r="J72" s="11">
        <v>0</v>
      </c>
      <c r="K72" s="11">
        <v>27</v>
      </c>
      <c r="L72" s="11">
        <v>67.5</v>
      </c>
      <c r="M72" s="11">
        <v>38.5</v>
      </c>
      <c r="N72" s="11"/>
      <c r="O72" s="11"/>
      <c r="P72" s="12">
        <f t="shared" si="6"/>
        <v>265</v>
      </c>
    </row>
    <row r="73" spans="1:16" ht="15.75" x14ac:dyDescent="0.25">
      <c r="A73" s="20">
        <v>2023</v>
      </c>
      <c r="B73" s="35" t="s">
        <v>17</v>
      </c>
      <c r="C73" s="34" t="s">
        <v>2</v>
      </c>
      <c r="D73" s="11">
        <v>24</v>
      </c>
      <c r="E73" s="11">
        <v>56</v>
      </c>
      <c r="F73" s="11">
        <v>47</v>
      </c>
      <c r="G73" s="11">
        <v>41</v>
      </c>
      <c r="H73" s="11">
        <v>51</v>
      </c>
      <c r="I73" s="11">
        <v>45</v>
      </c>
      <c r="J73" s="11">
        <v>50</v>
      </c>
      <c r="K73" s="11">
        <v>32</v>
      </c>
      <c r="L73" s="11">
        <v>24</v>
      </c>
      <c r="M73" s="11">
        <v>8</v>
      </c>
      <c r="N73" s="11">
        <v>5</v>
      </c>
      <c r="O73" s="11">
        <v>3</v>
      </c>
      <c r="P73" s="12">
        <f t="shared" si="6"/>
        <v>386</v>
      </c>
    </row>
    <row r="74" spans="1:16" ht="15.75" x14ac:dyDescent="0.25">
      <c r="A74" s="20">
        <v>2023</v>
      </c>
      <c r="B74" s="33" t="s">
        <v>18</v>
      </c>
      <c r="C74" s="34" t="s">
        <v>4</v>
      </c>
      <c r="D74" s="11">
        <v>56</v>
      </c>
      <c r="E74" s="11">
        <v>4</v>
      </c>
      <c r="F74" s="11">
        <v>39.700000000000003</v>
      </c>
      <c r="G74" s="11">
        <v>6</v>
      </c>
      <c r="H74" s="11">
        <v>17</v>
      </c>
      <c r="I74" s="11">
        <v>20</v>
      </c>
      <c r="J74" s="11">
        <v>0</v>
      </c>
      <c r="K74" s="11">
        <v>19</v>
      </c>
      <c r="L74" s="11">
        <v>41</v>
      </c>
      <c r="M74" s="11">
        <v>27</v>
      </c>
      <c r="N74" s="11"/>
      <c r="O74" s="11"/>
      <c r="P74" s="12">
        <f t="shared" si="6"/>
        <v>229.7</v>
      </c>
    </row>
    <row r="75" spans="1:16" ht="15.75" x14ac:dyDescent="0.25">
      <c r="A75" s="20">
        <v>2023</v>
      </c>
      <c r="B75" s="35" t="s">
        <v>19</v>
      </c>
      <c r="C75" s="34" t="s">
        <v>2</v>
      </c>
      <c r="D75" s="11">
        <v>37</v>
      </c>
      <c r="E75" s="11">
        <v>53</v>
      </c>
      <c r="F75" s="11">
        <v>63</v>
      </c>
      <c r="G75" s="11">
        <v>93</v>
      </c>
      <c r="H75" s="11">
        <v>86</v>
      </c>
      <c r="I75" s="11">
        <v>74</v>
      </c>
      <c r="J75" s="11">
        <v>68</v>
      </c>
      <c r="K75" s="11">
        <v>56</v>
      </c>
      <c r="L75" s="11">
        <v>40</v>
      </c>
      <c r="M75" s="11">
        <v>29</v>
      </c>
      <c r="N75" s="11">
        <v>5</v>
      </c>
      <c r="O75" s="11">
        <v>7</v>
      </c>
      <c r="P75" s="12">
        <f t="shared" si="6"/>
        <v>611</v>
      </c>
    </row>
    <row r="76" spans="1:16" ht="16.5" thickBot="1" x14ac:dyDescent="0.3">
      <c r="A76" s="39">
        <v>2023</v>
      </c>
      <c r="B76" s="38" t="s">
        <v>20</v>
      </c>
      <c r="C76" s="36" t="s">
        <v>4</v>
      </c>
      <c r="D76" s="11">
        <v>28</v>
      </c>
      <c r="E76" s="11">
        <v>10</v>
      </c>
      <c r="F76" s="11">
        <v>84</v>
      </c>
      <c r="G76" s="11">
        <v>19</v>
      </c>
      <c r="H76" s="11">
        <v>31</v>
      </c>
      <c r="I76" s="11">
        <v>23</v>
      </c>
      <c r="J76" s="11">
        <v>9.5</v>
      </c>
      <c r="K76" s="11">
        <v>49</v>
      </c>
      <c r="L76" s="11">
        <v>88</v>
      </c>
      <c r="M76" s="11">
        <v>63</v>
      </c>
      <c r="N76" s="11">
        <v>8</v>
      </c>
      <c r="O76" s="11"/>
      <c r="P76" s="12">
        <f t="shared" si="6"/>
        <v>412.5</v>
      </c>
    </row>
    <row r="77" spans="1:16" ht="16.5" thickBot="1" x14ac:dyDescent="0.3">
      <c r="A77" s="42">
        <v>2023</v>
      </c>
      <c r="B77" s="43" t="s">
        <v>0</v>
      </c>
      <c r="C77" s="26" t="s">
        <v>4</v>
      </c>
      <c r="D77" s="7">
        <f>D60+D62+D64+D66+D68+D70+D72+D74+D76</f>
        <v>430.6</v>
      </c>
      <c r="E77" s="7">
        <f>E60+E62+E64+E66+E68+E70+E72+E74+E76</f>
        <v>102.8</v>
      </c>
      <c r="F77" s="2">
        <f t="shared" ref="F77:M77" si="7">F60+F62+F64+F66+F68+F70+F72+F74+F76</f>
        <v>821.2</v>
      </c>
      <c r="G77" s="2">
        <f t="shared" si="7"/>
        <v>165.8</v>
      </c>
      <c r="H77" s="2">
        <f t="shared" si="7"/>
        <v>401.2</v>
      </c>
      <c r="I77" s="2">
        <f t="shared" si="7"/>
        <v>205.2</v>
      </c>
      <c r="J77" s="2">
        <f t="shared" si="7"/>
        <v>86</v>
      </c>
      <c r="K77" s="2">
        <f t="shared" si="7"/>
        <v>301.89999999999998</v>
      </c>
      <c r="L77" s="2">
        <f t="shared" si="7"/>
        <v>601.5</v>
      </c>
      <c r="M77" s="2">
        <f t="shared" si="7"/>
        <v>543</v>
      </c>
      <c r="N77" s="2">
        <f>N60+N62+N64+N66+N68+N70+N72+N74+N76</f>
        <v>10</v>
      </c>
      <c r="O77" s="2">
        <f>O60+O62+O64+O66+O68+O70+O72+O74+O76</f>
        <v>0</v>
      </c>
      <c r="P7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2025-06-04T14:58:11Z</dcterms:modified>
</cp:coreProperties>
</file>